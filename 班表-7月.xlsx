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22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23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24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25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26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27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28.xml" ContentType="application/vnd.openxmlformats-officedocument.drawing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29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30.xml" ContentType="application/vnd.openxmlformats-officedocument.drawing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31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yhsu\Desktop\白霧\班表\"/>
    </mc:Choice>
  </mc:AlternateContent>
  <xr:revisionPtr revIDLastSave="0" documentId="13_ncr:1_{CFE7FEB8-AF01-4158-AE00-5F48A93DBCBE}" xr6:coauthVersionLast="36" xr6:coauthVersionMax="47" xr10:uidLastSave="{00000000-0000-0000-0000-000000000000}"/>
  <bookViews>
    <workbookView xWindow="0" yWindow="0" windowWidth="19200" windowHeight="7960" tabRatio="823" xr2:uid="{18E6A59C-9E50-4979-B9DA-246A7685CC37}"/>
  </bookViews>
  <sheets>
    <sheet name="整月外場班表" sheetId="2" r:id="rId1"/>
    <sheet name="外場轉化" sheetId="40" state="hidden" r:id="rId2"/>
    <sheet name="內場轉化" sheetId="42" state="hidden" r:id="rId3"/>
    <sheet name="1" sheetId="1" r:id="rId4"/>
    <sheet name="2" sheetId="36" r:id="rId5"/>
    <sheet name="3" sheetId="37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3" r:id="rId22"/>
    <sheet name="20" sheetId="24" r:id="rId23"/>
    <sheet name="21" sheetId="25" r:id="rId24"/>
    <sheet name="22" sheetId="26" r:id="rId25"/>
    <sheet name="23" sheetId="27" r:id="rId26"/>
    <sheet name="24" sheetId="28" r:id="rId27"/>
    <sheet name="25" sheetId="29" r:id="rId28"/>
    <sheet name="26" sheetId="30" r:id="rId29"/>
    <sheet name="27" sheetId="32" r:id="rId30"/>
    <sheet name="28" sheetId="31" r:id="rId31"/>
    <sheet name="29" sheetId="33" r:id="rId32"/>
    <sheet name="30" sheetId="34" r:id="rId33"/>
    <sheet name="31" sheetId="35" r:id="rId34"/>
  </sheets>
  <definedNames>
    <definedName name="_xlnm.Print_Area" localSheetId="0">整月外場班表!$A$1:$AG$20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8" i="1" l="1"/>
  <c r="F18" i="1" a="1"/>
  <c r="H18" i="1" a="1"/>
  <c r="I18" i="1" a="1"/>
  <c r="G18" i="1" a="1"/>
  <c r="F18" i="1" l="1"/>
  <c r="AD18" i="1" s="1"/>
  <c r="H18" i="1"/>
  <c r="G18" i="1"/>
  <c r="I18" i="1"/>
  <c r="AV35" i="2"/>
  <c r="H8" i="2"/>
  <c r="AD41" i="2"/>
  <c r="AH41" i="2"/>
  <c r="AF41" i="2"/>
  <c r="BL41" i="2"/>
  <c r="BJ41" i="2"/>
  <c r="BH41" i="2"/>
  <c r="BF41" i="2"/>
  <c r="BD41" i="2"/>
  <c r="BB41" i="2"/>
  <c r="AZ41" i="2"/>
  <c r="AX41" i="2"/>
  <c r="AV41" i="2"/>
  <c r="AT41" i="2"/>
  <c r="AR41" i="2"/>
  <c r="AP41" i="2"/>
  <c r="AN41" i="2"/>
  <c r="AL41" i="2"/>
  <c r="AJ41" i="2"/>
  <c r="AB41" i="2"/>
  <c r="Z41" i="2"/>
  <c r="X41" i="2"/>
  <c r="V41" i="2"/>
  <c r="T41" i="2"/>
  <c r="R41" i="2"/>
  <c r="P41" i="2"/>
  <c r="N41" i="2"/>
  <c r="L41" i="2"/>
  <c r="J41" i="2"/>
  <c r="H41" i="2"/>
  <c r="F41" i="2"/>
  <c r="D41" i="2"/>
  <c r="BL23" i="2"/>
  <c r="BJ23" i="2"/>
  <c r="BH23" i="2"/>
  <c r="BF23" i="2"/>
  <c r="BD23" i="2"/>
  <c r="BB23" i="2"/>
  <c r="AZ23" i="2"/>
  <c r="AX23" i="2"/>
  <c r="AV23" i="2"/>
  <c r="AT23" i="2"/>
  <c r="AR23" i="2"/>
  <c r="AP23" i="2"/>
  <c r="AN23" i="2"/>
  <c r="AL23" i="2"/>
  <c r="AJ23" i="2"/>
  <c r="AH23" i="2"/>
  <c r="AF23" i="2"/>
  <c r="AD23" i="2"/>
  <c r="AB23" i="2"/>
  <c r="Z23" i="2"/>
  <c r="X23" i="2"/>
  <c r="V23" i="2"/>
  <c r="T23" i="2"/>
  <c r="R23" i="2"/>
  <c r="P23" i="2"/>
  <c r="N23" i="2"/>
  <c r="L23" i="2"/>
  <c r="J23" i="2"/>
  <c r="H23" i="2"/>
  <c r="F23" i="2"/>
  <c r="D23" i="2"/>
  <c r="BL20" i="2"/>
  <c r="BJ20" i="2"/>
  <c r="BH20" i="2"/>
  <c r="BF20" i="2"/>
  <c r="BD20" i="2"/>
  <c r="BB20" i="2"/>
  <c r="AZ20" i="2"/>
  <c r="AX20" i="2"/>
  <c r="AV20" i="2"/>
  <c r="AT20" i="2"/>
  <c r="AR20" i="2"/>
  <c r="AP20" i="2"/>
  <c r="AN20" i="2"/>
  <c r="AL20" i="2"/>
  <c r="AJ20" i="2"/>
  <c r="AH20" i="2"/>
  <c r="AF20" i="2"/>
  <c r="AD20" i="2"/>
  <c r="AB20" i="2"/>
  <c r="Z20" i="2"/>
  <c r="X20" i="2"/>
  <c r="V20" i="2"/>
  <c r="T20" i="2"/>
  <c r="R20" i="2"/>
  <c r="P20" i="2"/>
  <c r="N20" i="2"/>
  <c r="L20" i="2"/>
  <c r="J20" i="2"/>
  <c r="H20" i="2"/>
  <c r="F20" i="2"/>
  <c r="D20" i="2"/>
  <c r="BL17" i="2"/>
  <c r="BJ17" i="2"/>
  <c r="BH17" i="2"/>
  <c r="BF17" i="2"/>
  <c r="BD17" i="2"/>
  <c r="BB17" i="2"/>
  <c r="AZ17" i="2"/>
  <c r="AX17" i="2"/>
  <c r="AV17" i="2"/>
  <c r="AT17" i="2"/>
  <c r="AR17" i="2"/>
  <c r="AP17" i="2"/>
  <c r="AN17" i="2"/>
  <c r="AL17" i="2"/>
  <c r="AJ17" i="2"/>
  <c r="AH17" i="2"/>
  <c r="AF17" i="2"/>
  <c r="AD17" i="2"/>
  <c r="AB17" i="2"/>
  <c r="Z17" i="2"/>
  <c r="X17" i="2"/>
  <c r="V17" i="2"/>
  <c r="T17" i="2"/>
  <c r="R17" i="2"/>
  <c r="P17" i="2"/>
  <c r="N17" i="2"/>
  <c r="L17" i="2"/>
  <c r="J17" i="2"/>
  <c r="H17" i="2"/>
  <c r="F17" i="2"/>
  <c r="D17" i="2"/>
  <c r="BL14" i="2"/>
  <c r="BJ14" i="2"/>
  <c r="BH14" i="2"/>
  <c r="BF14" i="2"/>
  <c r="BD14" i="2"/>
  <c r="BB14" i="2"/>
  <c r="AZ14" i="2"/>
  <c r="AX14" i="2"/>
  <c r="AV14" i="2"/>
  <c r="AT14" i="2"/>
  <c r="AR14" i="2"/>
  <c r="AP14" i="2"/>
  <c r="AN14" i="2"/>
  <c r="AL14" i="2"/>
  <c r="AJ14" i="2"/>
  <c r="AH14" i="2"/>
  <c r="AF14" i="2"/>
  <c r="AD14" i="2"/>
  <c r="AB14" i="2"/>
  <c r="Z14" i="2"/>
  <c r="X14" i="2"/>
  <c r="V14" i="2"/>
  <c r="T14" i="2"/>
  <c r="R14" i="2"/>
  <c r="P14" i="2"/>
  <c r="N14" i="2"/>
  <c r="L14" i="2"/>
  <c r="J14" i="2"/>
  <c r="H14" i="2"/>
  <c r="F14" i="2"/>
  <c r="D14" i="2"/>
  <c r="BL11" i="2"/>
  <c r="BJ11" i="2"/>
  <c r="BH11" i="2"/>
  <c r="BF11" i="2"/>
  <c r="BD11" i="2"/>
  <c r="BB11" i="2"/>
  <c r="AZ11" i="2"/>
  <c r="AX11" i="2"/>
  <c r="AV11" i="2"/>
  <c r="AT11" i="2"/>
  <c r="AR11" i="2"/>
  <c r="AP11" i="2"/>
  <c r="AN11" i="2"/>
  <c r="AL11" i="2"/>
  <c r="AJ11" i="2"/>
  <c r="AH11" i="2"/>
  <c r="AF11" i="2"/>
  <c r="AD11" i="2"/>
  <c r="AB11" i="2"/>
  <c r="Z11" i="2"/>
  <c r="X11" i="2"/>
  <c r="V11" i="2"/>
  <c r="T11" i="2"/>
  <c r="R11" i="2"/>
  <c r="P11" i="2"/>
  <c r="N11" i="2"/>
  <c r="L11" i="2"/>
  <c r="J11" i="2"/>
  <c r="H11" i="2"/>
  <c r="F11" i="2"/>
  <c r="D11" i="2"/>
  <c r="D26" i="2"/>
  <c r="F26" i="2"/>
  <c r="H26" i="2"/>
  <c r="J26" i="2"/>
  <c r="L26" i="2"/>
  <c r="N26" i="2"/>
  <c r="P26" i="2"/>
  <c r="R26" i="2"/>
  <c r="T26" i="2"/>
  <c r="V26" i="2"/>
  <c r="X26" i="2"/>
  <c r="Z26" i="2"/>
  <c r="AB26" i="2"/>
  <c r="AD26" i="2"/>
  <c r="AF26" i="2"/>
  <c r="AH26" i="2"/>
  <c r="AJ26" i="2"/>
  <c r="AL26" i="2"/>
  <c r="AN26" i="2"/>
  <c r="AP26" i="2"/>
  <c r="AR26" i="2"/>
  <c r="AT26" i="2"/>
  <c r="AV26" i="2"/>
  <c r="AX26" i="2"/>
  <c r="AZ26" i="2"/>
  <c r="BB26" i="2"/>
  <c r="BD26" i="2"/>
  <c r="BF26" i="2"/>
  <c r="BF8" i="2"/>
  <c r="BD8" i="2"/>
  <c r="BB8" i="2"/>
  <c r="AZ8" i="2"/>
  <c r="AX8" i="2"/>
  <c r="AV8" i="2"/>
  <c r="AT8" i="2"/>
  <c r="AR8" i="2"/>
  <c r="AP8" i="2"/>
  <c r="AN8" i="2"/>
  <c r="AL8" i="2"/>
  <c r="AJ8" i="2"/>
  <c r="AH8" i="2"/>
  <c r="AF8" i="2"/>
  <c r="AD8" i="2"/>
  <c r="AB8" i="2"/>
  <c r="Z8" i="2"/>
  <c r="X8" i="2"/>
  <c r="V8" i="2"/>
  <c r="T8" i="2"/>
  <c r="R8" i="2"/>
  <c r="P8" i="2"/>
  <c r="N8" i="2"/>
  <c r="L8" i="2"/>
  <c r="J8" i="2"/>
  <c r="F8" i="2"/>
  <c r="D8" i="2"/>
  <c r="D5" i="2"/>
  <c r="BL26" i="2"/>
  <c r="BJ26" i="2"/>
  <c r="BH26" i="2"/>
  <c r="BL8" i="2"/>
  <c r="BJ8" i="2"/>
  <c r="BH8" i="2"/>
  <c r="F5" i="2"/>
  <c r="H5" i="2"/>
  <c r="J5" i="2"/>
  <c r="L5" i="2"/>
  <c r="N5" i="2"/>
  <c r="P5" i="2"/>
  <c r="R5" i="2"/>
  <c r="T5" i="2"/>
  <c r="V5" i="2"/>
  <c r="X5" i="2"/>
  <c r="Z5" i="2"/>
  <c r="AB5" i="2"/>
  <c r="AD5" i="2"/>
  <c r="AF5" i="2"/>
  <c r="AH5" i="2"/>
  <c r="AJ5" i="2"/>
  <c r="AL5" i="2"/>
  <c r="AN5" i="2"/>
  <c r="AP5" i="2"/>
  <c r="AR5" i="2"/>
  <c r="AT5" i="2"/>
  <c r="AV5" i="2"/>
  <c r="AX5" i="2"/>
  <c r="AZ5" i="2"/>
  <c r="BB5" i="2"/>
  <c r="BD5" i="2"/>
  <c r="BF5" i="2"/>
  <c r="BH5" i="2"/>
  <c r="BJ5" i="2"/>
  <c r="BL5" i="2"/>
  <c r="BM40" i="42"/>
  <c r="BL40" i="42"/>
  <c r="BK40" i="42"/>
  <c r="BJ40" i="42"/>
  <c r="BI40" i="42"/>
  <c r="BH40" i="42"/>
  <c r="BG40" i="42"/>
  <c r="BF40" i="42"/>
  <c r="BE40" i="42"/>
  <c r="BD40" i="42"/>
  <c r="BC40" i="42"/>
  <c r="BB40" i="42"/>
  <c r="BA40" i="42"/>
  <c r="AZ40" i="42"/>
  <c r="AY40" i="42"/>
  <c r="AX40" i="42"/>
  <c r="AW40" i="42"/>
  <c r="AV40" i="42"/>
  <c r="AU40" i="42"/>
  <c r="AT40" i="42"/>
  <c r="AS40" i="42"/>
  <c r="AR40" i="42"/>
  <c r="AQ40" i="42"/>
  <c r="AP40" i="42"/>
  <c r="AO40" i="42"/>
  <c r="AN40" i="42"/>
  <c r="AM40" i="42"/>
  <c r="AL40" i="42"/>
  <c r="AK40" i="42"/>
  <c r="AJ40" i="42"/>
  <c r="AI40" i="42"/>
  <c r="AH40" i="42"/>
  <c r="AG40" i="42"/>
  <c r="AF40" i="42"/>
  <c r="AE40" i="42"/>
  <c r="AD40" i="42"/>
  <c r="AC40" i="42"/>
  <c r="AB40" i="42"/>
  <c r="AA40" i="42"/>
  <c r="Z40" i="42"/>
  <c r="Y40" i="42"/>
  <c r="X40" i="42"/>
  <c r="W40" i="42"/>
  <c r="V40" i="42"/>
  <c r="U40" i="42"/>
  <c r="T40" i="42"/>
  <c r="S40" i="42"/>
  <c r="R40" i="42"/>
  <c r="Q40" i="42"/>
  <c r="P40" i="42"/>
  <c r="O40" i="42"/>
  <c r="N40" i="42"/>
  <c r="M40" i="42"/>
  <c r="L40" i="42"/>
  <c r="K40" i="42"/>
  <c r="J40" i="42"/>
  <c r="I40" i="42"/>
  <c r="H40" i="42"/>
  <c r="G40" i="42"/>
  <c r="F40" i="42"/>
  <c r="E40" i="42"/>
  <c r="D40" i="42"/>
  <c r="BM39" i="42"/>
  <c r="BL39" i="42"/>
  <c r="BK39" i="42"/>
  <c r="BJ39" i="42"/>
  <c r="BI39" i="42"/>
  <c r="BH39" i="42"/>
  <c r="BG39" i="42"/>
  <c r="BF39" i="42"/>
  <c r="BE39" i="42"/>
  <c r="BD39" i="42"/>
  <c r="BC39" i="42"/>
  <c r="BB39" i="42"/>
  <c r="BB41" i="42" s="1" a="1"/>
  <c r="BB41" i="42" s="1"/>
  <c r="BA39" i="42"/>
  <c r="AZ39" i="42"/>
  <c r="AY39" i="42"/>
  <c r="AX39" i="42"/>
  <c r="AW39" i="42"/>
  <c r="AV39" i="42"/>
  <c r="AV41" i="42" s="1" a="1"/>
  <c r="AV41" i="42" s="1"/>
  <c r="AU39" i="42"/>
  <c r="AT39" i="42"/>
  <c r="AS39" i="42"/>
  <c r="AR39" i="42"/>
  <c r="AQ39" i="42"/>
  <c r="AP39" i="42"/>
  <c r="AO39" i="42"/>
  <c r="AN39" i="42"/>
  <c r="AM39" i="42"/>
  <c r="AL39" i="42"/>
  <c r="AK39" i="42"/>
  <c r="AJ39" i="42"/>
  <c r="AJ41" i="42" s="1" a="1"/>
  <c r="AJ41" i="42" s="1"/>
  <c r="AI39" i="42"/>
  <c r="AH39" i="42"/>
  <c r="AG39" i="42"/>
  <c r="AF39" i="42"/>
  <c r="AE39" i="42"/>
  <c r="AD39" i="42"/>
  <c r="AC39" i="42"/>
  <c r="AB39" i="42"/>
  <c r="AA39" i="42"/>
  <c r="Z39" i="42"/>
  <c r="Y39" i="42"/>
  <c r="X39" i="42"/>
  <c r="X41" i="42" s="1" a="1"/>
  <c r="X41" i="42" s="1"/>
  <c r="W39" i="42"/>
  <c r="V39" i="42"/>
  <c r="U39" i="42"/>
  <c r="T39" i="42"/>
  <c r="S39" i="42"/>
  <c r="R39" i="42"/>
  <c r="Q39" i="42"/>
  <c r="P39" i="42"/>
  <c r="O39" i="42"/>
  <c r="N39" i="42"/>
  <c r="M39" i="42"/>
  <c r="L39" i="42"/>
  <c r="L41" i="42" s="1" a="1"/>
  <c r="L41" i="42" s="1"/>
  <c r="K39" i="42"/>
  <c r="J39" i="42"/>
  <c r="I39" i="42"/>
  <c r="H39" i="42"/>
  <c r="G39" i="42"/>
  <c r="F39" i="42"/>
  <c r="F41" i="42" s="1" a="1"/>
  <c r="F41" i="42" s="1"/>
  <c r="E39" i="42"/>
  <c r="D39" i="42"/>
  <c r="BM37" i="42"/>
  <c r="BL37" i="42"/>
  <c r="BK37" i="42"/>
  <c r="BJ37" i="42"/>
  <c r="BI37" i="42"/>
  <c r="BH37" i="42"/>
  <c r="BG37" i="42"/>
  <c r="BF37" i="42"/>
  <c r="BE37" i="42"/>
  <c r="BD37" i="42"/>
  <c r="BC37" i="42"/>
  <c r="BB37" i="42"/>
  <c r="BA37" i="42"/>
  <c r="AZ37" i="42"/>
  <c r="AY37" i="42"/>
  <c r="AX37" i="42"/>
  <c r="AW37" i="42"/>
  <c r="AV37" i="42"/>
  <c r="AU37" i="42"/>
  <c r="AT37" i="42"/>
  <c r="AS37" i="42"/>
  <c r="AR37" i="42"/>
  <c r="AQ37" i="42"/>
  <c r="AP37" i="42"/>
  <c r="AO37" i="42"/>
  <c r="AN37" i="42"/>
  <c r="AM37" i="42"/>
  <c r="AL37" i="42"/>
  <c r="AK37" i="42"/>
  <c r="AJ37" i="42"/>
  <c r="AI37" i="42"/>
  <c r="AH37" i="42"/>
  <c r="AG37" i="42"/>
  <c r="AF37" i="42"/>
  <c r="AE37" i="42"/>
  <c r="AD37" i="42"/>
  <c r="AC37" i="42"/>
  <c r="AB37" i="42"/>
  <c r="AA37" i="42"/>
  <c r="Z37" i="42"/>
  <c r="Y37" i="42"/>
  <c r="X37" i="42"/>
  <c r="W37" i="42"/>
  <c r="V37" i="42"/>
  <c r="U37" i="42"/>
  <c r="T37" i="42"/>
  <c r="S37" i="42"/>
  <c r="R37" i="42"/>
  <c r="Q37" i="42"/>
  <c r="P37" i="42"/>
  <c r="O37" i="42"/>
  <c r="N37" i="42"/>
  <c r="M37" i="42"/>
  <c r="L37" i="42"/>
  <c r="K37" i="42"/>
  <c r="J37" i="42"/>
  <c r="I37" i="42"/>
  <c r="H37" i="42"/>
  <c r="G37" i="42"/>
  <c r="F37" i="42"/>
  <c r="E37" i="42"/>
  <c r="D37" i="42"/>
  <c r="BM36" i="42"/>
  <c r="BL36" i="42"/>
  <c r="BL38" i="42" s="1" a="1"/>
  <c r="BL38" i="42" s="1"/>
  <c r="BK36" i="42"/>
  <c r="BJ36" i="42"/>
  <c r="BI36" i="42"/>
  <c r="BH36" i="42"/>
  <c r="BG36" i="42"/>
  <c r="BF36" i="42"/>
  <c r="BE36" i="42"/>
  <c r="BD36" i="42"/>
  <c r="BC36" i="42"/>
  <c r="BB36" i="42"/>
  <c r="BA36" i="42"/>
  <c r="AZ36" i="42"/>
  <c r="AZ38" i="42" s="1" a="1"/>
  <c r="AZ38" i="42" s="1"/>
  <c r="AY36" i="42"/>
  <c r="AX36" i="42"/>
  <c r="AW36" i="42"/>
  <c r="AV36" i="42"/>
  <c r="AU36" i="42"/>
  <c r="AT36" i="42"/>
  <c r="AT38" i="42" s="1" a="1"/>
  <c r="AT38" i="42" s="1"/>
  <c r="AS36" i="42"/>
  <c r="AR36" i="42"/>
  <c r="AQ36" i="42"/>
  <c r="AP36" i="42"/>
  <c r="AO36" i="42"/>
  <c r="AN36" i="42"/>
  <c r="AM36" i="42"/>
  <c r="AL36" i="42"/>
  <c r="AK36" i="42"/>
  <c r="AJ36" i="42"/>
  <c r="AI36" i="42"/>
  <c r="AH36" i="42"/>
  <c r="AH38" i="42" s="1" a="1"/>
  <c r="AH38" i="42" s="1"/>
  <c r="AG36" i="42"/>
  <c r="AF36" i="42"/>
  <c r="AE36" i="42"/>
  <c r="AD36" i="42"/>
  <c r="AC36" i="42"/>
  <c r="AB36" i="42"/>
  <c r="AA36" i="42"/>
  <c r="Z36" i="42"/>
  <c r="Y36" i="42"/>
  <c r="X36" i="42"/>
  <c r="W36" i="42"/>
  <c r="V36" i="42"/>
  <c r="V38" i="42" s="1" a="1"/>
  <c r="V38" i="42" s="1"/>
  <c r="U36" i="42"/>
  <c r="T36" i="42"/>
  <c r="S36" i="42"/>
  <c r="R36" i="42"/>
  <c r="R38" i="42" s="1" a="1"/>
  <c r="R38" i="42" s="1"/>
  <c r="Q36" i="42"/>
  <c r="P36" i="42"/>
  <c r="O36" i="42"/>
  <c r="N36" i="42"/>
  <c r="M36" i="42"/>
  <c r="L36" i="42"/>
  <c r="K36" i="42"/>
  <c r="J36" i="42"/>
  <c r="J38" i="42" s="1" a="1"/>
  <c r="J38" i="42" s="1"/>
  <c r="I36" i="42"/>
  <c r="H36" i="42"/>
  <c r="G36" i="42"/>
  <c r="F36" i="42"/>
  <c r="E36" i="42"/>
  <c r="D36" i="42"/>
  <c r="D38" i="42" s="1" a="1"/>
  <c r="D38" i="42" s="1"/>
  <c r="BM34" i="42"/>
  <c r="BL34" i="42"/>
  <c r="BK34" i="42"/>
  <c r="BJ34" i="42"/>
  <c r="BI34" i="42"/>
  <c r="BH34" i="42"/>
  <c r="BG34" i="42"/>
  <c r="BF34" i="42"/>
  <c r="BE34" i="42"/>
  <c r="BD34" i="42"/>
  <c r="BC34" i="42"/>
  <c r="BB34" i="42"/>
  <c r="BA34" i="42"/>
  <c r="AZ34" i="42"/>
  <c r="AY34" i="42"/>
  <c r="AX34" i="42"/>
  <c r="AW34" i="42"/>
  <c r="AV34" i="42"/>
  <c r="AU34" i="42"/>
  <c r="AT34" i="42"/>
  <c r="AS34" i="42"/>
  <c r="AR34" i="42"/>
  <c r="AQ34" i="42"/>
  <c r="AP34" i="42"/>
  <c r="AO34" i="42"/>
  <c r="AN34" i="42"/>
  <c r="AM34" i="42"/>
  <c r="AL34" i="42"/>
  <c r="AK34" i="42"/>
  <c r="AJ34" i="42"/>
  <c r="AI34" i="42"/>
  <c r="AH34" i="42"/>
  <c r="AG34" i="42"/>
  <c r="AF34" i="42"/>
  <c r="AE34" i="42"/>
  <c r="AD34" i="42"/>
  <c r="AC34" i="42"/>
  <c r="AB34" i="42"/>
  <c r="AA34" i="42"/>
  <c r="Z34" i="42"/>
  <c r="Y34" i="42"/>
  <c r="X34" i="42"/>
  <c r="W34" i="42"/>
  <c r="V34" i="42"/>
  <c r="U34" i="42"/>
  <c r="T34" i="42"/>
  <c r="S34" i="42"/>
  <c r="R34" i="42"/>
  <c r="Q34" i="42"/>
  <c r="P34" i="42"/>
  <c r="O34" i="42"/>
  <c r="N34" i="42"/>
  <c r="M34" i="42"/>
  <c r="L34" i="42"/>
  <c r="K34" i="42"/>
  <c r="J34" i="42"/>
  <c r="I34" i="42"/>
  <c r="H34" i="42"/>
  <c r="G34" i="42"/>
  <c r="F34" i="42"/>
  <c r="E34" i="42"/>
  <c r="D34" i="42"/>
  <c r="BM33" i="42"/>
  <c r="BL33" i="42"/>
  <c r="BK33" i="42"/>
  <c r="BJ33" i="42"/>
  <c r="BJ35" i="42" s="1" a="1"/>
  <c r="BJ35" i="42" s="1"/>
  <c r="BI33" i="42"/>
  <c r="BH33" i="42"/>
  <c r="BG33" i="42"/>
  <c r="BF33" i="42"/>
  <c r="BE33" i="42"/>
  <c r="BD33" i="42"/>
  <c r="BC33" i="42"/>
  <c r="BB33" i="42"/>
  <c r="BA33" i="42"/>
  <c r="AZ33" i="42"/>
  <c r="AY33" i="42"/>
  <c r="AX33" i="42"/>
  <c r="AX35" i="42" s="1" a="1"/>
  <c r="AX35" i="42" s="1"/>
  <c r="AW33" i="42"/>
  <c r="AV33" i="42"/>
  <c r="AU33" i="42"/>
  <c r="AT33" i="42"/>
  <c r="AS33" i="42"/>
  <c r="AR33" i="42"/>
  <c r="AQ33" i="42"/>
  <c r="AP33" i="42"/>
  <c r="AO33" i="42"/>
  <c r="AN33" i="42"/>
  <c r="AM33" i="42"/>
  <c r="AL33" i="42"/>
  <c r="AK33" i="42"/>
  <c r="AJ33" i="42"/>
  <c r="AI33" i="42"/>
  <c r="AH33" i="42"/>
  <c r="AG33" i="42"/>
  <c r="AF33" i="42"/>
  <c r="AE33" i="42"/>
  <c r="AD33" i="42"/>
  <c r="AC33" i="42"/>
  <c r="AB33" i="42"/>
  <c r="AA33" i="42"/>
  <c r="Z33" i="42"/>
  <c r="Y33" i="42"/>
  <c r="X33" i="42"/>
  <c r="W33" i="42"/>
  <c r="V33" i="42"/>
  <c r="U33" i="42"/>
  <c r="T33" i="42"/>
  <c r="S33" i="42"/>
  <c r="R33" i="42"/>
  <c r="Q33" i="42"/>
  <c r="P33" i="42"/>
  <c r="O33" i="42"/>
  <c r="N33" i="42"/>
  <c r="M33" i="42"/>
  <c r="L33" i="42"/>
  <c r="K33" i="42"/>
  <c r="J33" i="42"/>
  <c r="I33" i="42"/>
  <c r="H33" i="42"/>
  <c r="G33" i="42"/>
  <c r="F33" i="42"/>
  <c r="E33" i="42"/>
  <c r="D33" i="42"/>
  <c r="BM31" i="42"/>
  <c r="BL31" i="42"/>
  <c r="BK31" i="42"/>
  <c r="BJ31" i="42"/>
  <c r="BI31" i="42"/>
  <c r="BH31" i="42"/>
  <c r="BG31" i="42"/>
  <c r="BF31" i="42"/>
  <c r="BE31" i="42"/>
  <c r="BD31" i="42"/>
  <c r="BC31" i="42"/>
  <c r="BB31" i="42"/>
  <c r="BA31" i="42"/>
  <c r="AZ31" i="42"/>
  <c r="AY31" i="42"/>
  <c r="AX31" i="42"/>
  <c r="AW31" i="42"/>
  <c r="AV31" i="42"/>
  <c r="AU31" i="42"/>
  <c r="AT31" i="42"/>
  <c r="AS31" i="42"/>
  <c r="AR31" i="42"/>
  <c r="AQ31" i="42"/>
  <c r="AP31" i="42"/>
  <c r="AO31" i="42"/>
  <c r="AN31" i="42"/>
  <c r="AM31" i="42"/>
  <c r="AL31" i="42"/>
  <c r="AK31" i="42"/>
  <c r="AJ31" i="42"/>
  <c r="AI31" i="42"/>
  <c r="AH31" i="42"/>
  <c r="AG31" i="42"/>
  <c r="AF31" i="42"/>
  <c r="AE31" i="42"/>
  <c r="AD31" i="42"/>
  <c r="AC31" i="42"/>
  <c r="AB31" i="42"/>
  <c r="AA31" i="42"/>
  <c r="Z31" i="42"/>
  <c r="Y31" i="42"/>
  <c r="X31" i="42"/>
  <c r="W31" i="42"/>
  <c r="V31" i="42"/>
  <c r="U31" i="42"/>
  <c r="T31" i="42"/>
  <c r="S31" i="42"/>
  <c r="R31" i="42"/>
  <c r="Q31" i="42"/>
  <c r="P31" i="42"/>
  <c r="O31" i="42"/>
  <c r="N31" i="42"/>
  <c r="M31" i="42"/>
  <c r="L31" i="42"/>
  <c r="K31" i="42"/>
  <c r="J31" i="42"/>
  <c r="I31" i="42"/>
  <c r="H31" i="42"/>
  <c r="G31" i="42"/>
  <c r="F31" i="42"/>
  <c r="E31" i="42"/>
  <c r="D31" i="42"/>
  <c r="BM30" i="42"/>
  <c r="BL30" i="42"/>
  <c r="BK30" i="42"/>
  <c r="BJ30" i="42"/>
  <c r="BI30" i="42"/>
  <c r="BH30" i="42"/>
  <c r="BG30" i="42"/>
  <c r="BF30" i="42"/>
  <c r="BE30" i="42"/>
  <c r="BD30" i="42"/>
  <c r="BC30" i="42"/>
  <c r="BB30" i="42"/>
  <c r="BA30" i="42"/>
  <c r="AZ30" i="42"/>
  <c r="AY30" i="42"/>
  <c r="AX30" i="42"/>
  <c r="AW30" i="42"/>
  <c r="AV30" i="42"/>
  <c r="AU30" i="42"/>
  <c r="AT30" i="42"/>
  <c r="AS30" i="42"/>
  <c r="AR30" i="42"/>
  <c r="AQ30" i="42"/>
  <c r="AP30" i="42"/>
  <c r="AO30" i="42"/>
  <c r="AN30" i="42"/>
  <c r="AM30" i="42"/>
  <c r="AL30" i="42"/>
  <c r="AK30" i="42"/>
  <c r="AJ30" i="42"/>
  <c r="AI30" i="42"/>
  <c r="AH30" i="42"/>
  <c r="AG30" i="42"/>
  <c r="AF30" i="42"/>
  <c r="AE30" i="42"/>
  <c r="AD30" i="42"/>
  <c r="AC30" i="42"/>
  <c r="AB30" i="42"/>
  <c r="AB32" i="42" s="1" a="1"/>
  <c r="AB32" i="42" s="1"/>
  <c r="AA30" i="42"/>
  <c r="Z30" i="42"/>
  <c r="Y30" i="42"/>
  <c r="X30" i="42"/>
  <c r="W30" i="42"/>
  <c r="V30" i="42"/>
  <c r="U30" i="42"/>
  <c r="T30" i="42"/>
  <c r="S30" i="42"/>
  <c r="R30" i="42"/>
  <c r="Q30" i="42"/>
  <c r="P30" i="42"/>
  <c r="P32" i="42" s="1" a="1"/>
  <c r="P32" i="42" s="1"/>
  <c r="O30" i="42"/>
  <c r="N30" i="42"/>
  <c r="M30" i="42"/>
  <c r="L30" i="42"/>
  <c r="K30" i="42"/>
  <c r="J30" i="42"/>
  <c r="I30" i="42"/>
  <c r="H30" i="42"/>
  <c r="G30" i="42"/>
  <c r="F30" i="42"/>
  <c r="E30" i="42"/>
  <c r="D30" i="42"/>
  <c r="D32" i="42" s="1" a="1"/>
  <c r="D32" i="42" s="1"/>
  <c r="BM28" i="42"/>
  <c r="BL28" i="42"/>
  <c r="BK28" i="42"/>
  <c r="BJ28" i="42"/>
  <c r="BI28" i="42"/>
  <c r="BH28" i="42"/>
  <c r="BG28" i="42"/>
  <c r="BF28" i="42"/>
  <c r="BE28" i="42"/>
  <c r="BD28" i="42"/>
  <c r="BC28" i="42"/>
  <c r="BB28" i="42"/>
  <c r="BA28" i="42"/>
  <c r="AZ28" i="42"/>
  <c r="AY28" i="42"/>
  <c r="AX28" i="42"/>
  <c r="AW28" i="42"/>
  <c r="AV28" i="42"/>
  <c r="AU28" i="42"/>
  <c r="AT28" i="42"/>
  <c r="AS28" i="42"/>
  <c r="AR28" i="42"/>
  <c r="AQ28" i="42"/>
  <c r="AP28" i="42"/>
  <c r="AO28" i="42"/>
  <c r="AN28" i="42"/>
  <c r="AM28" i="42"/>
  <c r="AL28" i="42"/>
  <c r="AK28" i="42"/>
  <c r="AJ28" i="42"/>
  <c r="AI28" i="42"/>
  <c r="AH28" i="42"/>
  <c r="AG28" i="42"/>
  <c r="AF28" i="42"/>
  <c r="AE28" i="42"/>
  <c r="AD28" i="42"/>
  <c r="AC28" i="42"/>
  <c r="AB28" i="42"/>
  <c r="AA28" i="42"/>
  <c r="Z28" i="42"/>
  <c r="Y28" i="42"/>
  <c r="X28" i="42"/>
  <c r="W28" i="42"/>
  <c r="V28" i="42"/>
  <c r="U28" i="42"/>
  <c r="T28" i="42"/>
  <c r="S28" i="42"/>
  <c r="R28" i="42"/>
  <c r="Q28" i="42"/>
  <c r="P28" i="42"/>
  <c r="O28" i="42"/>
  <c r="N28" i="42"/>
  <c r="M28" i="42"/>
  <c r="L28" i="42"/>
  <c r="K28" i="42"/>
  <c r="J28" i="42"/>
  <c r="I28" i="42"/>
  <c r="H28" i="42"/>
  <c r="G28" i="42"/>
  <c r="F28" i="42"/>
  <c r="E28" i="42"/>
  <c r="D28" i="42"/>
  <c r="BM27" i="42"/>
  <c r="BL27" i="42"/>
  <c r="BK27" i="42"/>
  <c r="BJ27" i="42"/>
  <c r="BI27" i="42"/>
  <c r="BH27" i="42"/>
  <c r="BH29" i="42" s="1" a="1"/>
  <c r="BH29" i="42" s="1"/>
  <c r="BG27" i="42"/>
  <c r="BF27" i="42"/>
  <c r="BE27" i="42"/>
  <c r="BD27" i="42"/>
  <c r="BC27" i="42"/>
  <c r="BB27" i="42"/>
  <c r="BB29" i="42" s="1" a="1"/>
  <c r="BB29" i="42" s="1"/>
  <c r="BA27" i="42"/>
  <c r="AZ27" i="42"/>
  <c r="AY27" i="42"/>
  <c r="AX27" i="42"/>
  <c r="AW27" i="42"/>
  <c r="AV27" i="42"/>
  <c r="AU27" i="42"/>
  <c r="AT27" i="42"/>
  <c r="AS27" i="42"/>
  <c r="AR27" i="42"/>
  <c r="AQ27" i="42"/>
  <c r="AP27" i="42"/>
  <c r="AP29" i="42" s="1" a="1"/>
  <c r="AP29" i="42" s="1"/>
  <c r="AO27" i="42"/>
  <c r="AN27" i="42"/>
  <c r="AM27" i="42"/>
  <c r="AL27" i="42"/>
  <c r="AK27" i="42"/>
  <c r="AJ27" i="42"/>
  <c r="AI27" i="42"/>
  <c r="AH27" i="42"/>
  <c r="AG27" i="42"/>
  <c r="AF27" i="42"/>
  <c r="AE27" i="42"/>
  <c r="AD27" i="42"/>
  <c r="AD29" i="42" s="1" a="1"/>
  <c r="AD29" i="42" s="1"/>
  <c r="AC27" i="42"/>
  <c r="AB27" i="42"/>
  <c r="AA27" i="42"/>
  <c r="Z27" i="42"/>
  <c r="Y27" i="42"/>
  <c r="X27" i="42"/>
  <c r="W27" i="42"/>
  <c r="V27" i="42"/>
  <c r="U27" i="42"/>
  <c r="T27" i="42"/>
  <c r="S27" i="42"/>
  <c r="R27" i="42"/>
  <c r="R29" i="42" s="1" a="1"/>
  <c r="R29" i="42" s="1"/>
  <c r="Q27" i="42"/>
  <c r="P27" i="42"/>
  <c r="O27" i="42"/>
  <c r="N27" i="42"/>
  <c r="M27" i="42"/>
  <c r="L27" i="42"/>
  <c r="L29" i="42" s="1" a="1"/>
  <c r="L29" i="42" s="1"/>
  <c r="K27" i="42"/>
  <c r="J27" i="42"/>
  <c r="I27" i="42"/>
  <c r="H27" i="42"/>
  <c r="G27" i="42"/>
  <c r="F27" i="42"/>
  <c r="E27" i="42"/>
  <c r="D27" i="42"/>
  <c r="BM25" i="42"/>
  <c r="BL25" i="42"/>
  <c r="BK25" i="42"/>
  <c r="BJ25" i="42"/>
  <c r="BI25" i="42"/>
  <c r="BH25" i="42"/>
  <c r="BG25" i="42"/>
  <c r="BF25" i="42"/>
  <c r="BE25" i="42"/>
  <c r="BD25" i="42"/>
  <c r="BC25" i="42"/>
  <c r="BB25" i="42"/>
  <c r="BA25" i="42"/>
  <c r="AZ25" i="42"/>
  <c r="AY25" i="42"/>
  <c r="AX25" i="42"/>
  <c r="AW25" i="42"/>
  <c r="AV25" i="42"/>
  <c r="AU25" i="42"/>
  <c r="AT25" i="42"/>
  <c r="AS25" i="42"/>
  <c r="AR25" i="42"/>
  <c r="AQ25" i="42"/>
  <c r="AP25" i="42"/>
  <c r="AO25" i="42"/>
  <c r="AN25" i="42"/>
  <c r="AM25" i="42"/>
  <c r="AL25" i="42"/>
  <c r="AK25" i="42"/>
  <c r="AJ25" i="42"/>
  <c r="AI25" i="42"/>
  <c r="AH25" i="42"/>
  <c r="AG25" i="42"/>
  <c r="AF25" i="42"/>
  <c r="AE25" i="42"/>
  <c r="AD25" i="42"/>
  <c r="AC25" i="42"/>
  <c r="AB25" i="42"/>
  <c r="AA25" i="42"/>
  <c r="Z25" i="42"/>
  <c r="Y25" i="42"/>
  <c r="X25" i="42"/>
  <c r="W25" i="42"/>
  <c r="V25" i="42"/>
  <c r="U25" i="42"/>
  <c r="T25" i="42"/>
  <c r="S25" i="42"/>
  <c r="R25" i="42"/>
  <c r="Q25" i="42"/>
  <c r="P25" i="42"/>
  <c r="O25" i="42"/>
  <c r="N25" i="42"/>
  <c r="M25" i="42"/>
  <c r="L25" i="42"/>
  <c r="K25" i="42"/>
  <c r="J25" i="42"/>
  <c r="I25" i="42"/>
  <c r="H25" i="42"/>
  <c r="G25" i="42"/>
  <c r="F25" i="42"/>
  <c r="E25" i="42"/>
  <c r="D25" i="42"/>
  <c r="BM24" i="42"/>
  <c r="BL24" i="42"/>
  <c r="BK24" i="42"/>
  <c r="BJ24" i="42"/>
  <c r="BI24" i="42"/>
  <c r="BH24" i="42"/>
  <c r="BG24" i="42"/>
  <c r="BF24" i="42"/>
  <c r="BE24" i="42"/>
  <c r="BD24" i="42"/>
  <c r="BC24" i="42"/>
  <c r="BB24" i="42"/>
  <c r="BA24" i="42"/>
  <c r="AZ24" i="42"/>
  <c r="AY24" i="42"/>
  <c r="AX24" i="42"/>
  <c r="AW24" i="42"/>
  <c r="AV24" i="42"/>
  <c r="AU24" i="42"/>
  <c r="AT24" i="42"/>
  <c r="AS24" i="42"/>
  <c r="AR24" i="42"/>
  <c r="AQ24" i="42"/>
  <c r="AP24" i="42"/>
  <c r="AO24" i="42"/>
  <c r="AN24" i="42"/>
  <c r="AM24" i="42"/>
  <c r="AL24" i="42"/>
  <c r="AK24" i="42"/>
  <c r="AJ24" i="42"/>
  <c r="AI24" i="42"/>
  <c r="AH24" i="42"/>
  <c r="AG24" i="42"/>
  <c r="AF24" i="42"/>
  <c r="AE24" i="42"/>
  <c r="AD24" i="42"/>
  <c r="AC24" i="42"/>
  <c r="AB24" i="42"/>
  <c r="AA24" i="42"/>
  <c r="Z24" i="42"/>
  <c r="Y24" i="42"/>
  <c r="X24" i="42"/>
  <c r="W24" i="42"/>
  <c r="V24" i="42"/>
  <c r="U24" i="42"/>
  <c r="T24" i="42"/>
  <c r="S24" i="42"/>
  <c r="R24" i="42"/>
  <c r="Q24" i="42"/>
  <c r="P24" i="42"/>
  <c r="O24" i="42"/>
  <c r="N24" i="42"/>
  <c r="M24" i="42"/>
  <c r="L24" i="42"/>
  <c r="K24" i="42"/>
  <c r="J24" i="42"/>
  <c r="I24" i="42"/>
  <c r="H24" i="42"/>
  <c r="G24" i="42"/>
  <c r="F24" i="42"/>
  <c r="E24" i="42"/>
  <c r="D24" i="42"/>
  <c r="BM22" i="42"/>
  <c r="BL22" i="42"/>
  <c r="BK22" i="42"/>
  <c r="BJ22" i="42"/>
  <c r="BI22" i="42"/>
  <c r="BH22" i="42"/>
  <c r="BG22" i="42"/>
  <c r="BF22" i="42"/>
  <c r="BE22" i="42"/>
  <c r="BD22" i="42"/>
  <c r="BC22" i="42"/>
  <c r="BB22" i="42"/>
  <c r="BA22" i="42"/>
  <c r="AZ22" i="42"/>
  <c r="AY22" i="42"/>
  <c r="AX22" i="42"/>
  <c r="AW22" i="42"/>
  <c r="AV22" i="42"/>
  <c r="AU22" i="42"/>
  <c r="AT22" i="42"/>
  <c r="AS22" i="42"/>
  <c r="AR22" i="42"/>
  <c r="AQ22" i="42"/>
  <c r="AP22" i="42"/>
  <c r="AO22" i="42"/>
  <c r="AN22" i="42"/>
  <c r="AM22" i="42"/>
  <c r="AL22" i="42"/>
  <c r="AK22" i="42"/>
  <c r="AJ22" i="42"/>
  <c r="AI22" i="42"/>
  <c r="AH22" i="42"/>
  <c r="AG22" i="42"/>
  <c r="AF22" i="42"/>
  <c r="AE22" i="42"/>
  <c r="AD22" i="42"/>
  <c r="AC22" i="42"/>
  <c r="AB22" i="42"/>
  <c r="AA22" i="42"/>
  <c r="Z22" i="42"/>
  <c r="Y22" i="42"/>
  <c r="X22" i="42"/>
  <c r="W22" i="42"/>
  <c r="V22" i="42"/>
  <c r="U22" i="42"/>
  <c r="T22" i="42"/>
  <c r="S22" i="42"/>
  <c r="R22" i="42"/>
  <c r="Q22" i="42"/>
  <c r="P22" i="42"/>
  <c r="O22" i="42"/>
  <c r="N22" i="42"/>
  <c r="M22" i="42"/>
  <c r="L22" i="42"/>
  <c r="K22" i="42"/>
  <c r="J22" i="42"/>
  <c r="I22" i="42"/>
  <c r="H22" i="42"/>
  <c r="G22" i="42"/>
  <c r="F22" i="42"/>
  <c r="E22" i="42"/>
  <c r="D22" i="42"/>
  <c r="BM21" i="42"/>
  <c r="BL21" i="42"/>
  <c r="BK21" i="42"/>
  <c r="BJ21" i="42"/>
  <c r="BI21" i="42"/>
  <c r="BH21" i="42"/>
  <c r="BG21" i="42"/>
  <c r="BF21" i="42"/>
  <c r="BE21" i="42"/>
  <c r="BD21" i="42"/>
  <c r="BC21" i="42"/>
  <c r="BB21" i="42"/>
  <c r="BA21" i="42"/>
  <c r="AZ21" i="42"/>
  <c r="AY21" i="42"/>
  <c r="AX21" i="42"/>
  <c r="AW21" i="42"/>
  <c r="AV21" i="42"/>
  <c r="AU21" i="42"/>
  <c r="AT21" i="42"/>
  <c r="AS21" i="42"/>
  <c r="AR21" i="42"/>
  <c r="AQ21" i="42"/>
  <c r="AP21" i="42"/>
  <c r="AO21" i="42"/>
  <c r="AN21" i="42"/>
  <c r="AM21" i="42"/>
  <c r="AL21" i="42"/>
  <c r="AK21" i="42"/>
  <c r="AJ21" i="42"/>
  <c r="AI21" i="42"/>
  <c r="AH21" i="42"/>
  <c r="AG21" i="42"/>
  <c r="AF21" i="42"/>
  <c r="AE21" i="42"/>
  <c r="AD21" i="42"/>
  <c r="AC21" i="42"/>
  <c r="AB21" i="42"/>
  <c r="AA21" i="42"/>
  <c r="Z21" i="42"/>
  <c r="Y21" i="42"/>
  <c r="X21" i="42"/>
  <c r="W21" i="42"/>
  <c r="V21" i="42"/>
  <c r="U21" i="42"/>
  <c r="T21" i="42"/>
  <c r="S21" i="42"/>
  <c r="R21" i="42"/>
  <c r="Q21" i="42"/>
  <c r="P21" i="42"/>
  <c r="O21" i="42"/>
  <c r="N21" i="42"/>
  <c r="M21" i="42"/>
  <c r="L21" i="42"/>
  <c r="K21" i="42"/>
  <c r="J21" i="42"/>
  <c r="I21" i="42"/>
  <c r="H21" i="42"/>
  <c r="G21" i="42"/>
  <c r="F21" i="42"/>
  <c r="E21" i="42"/>
  <c r="D21" i="42"/>
  <c r="BM19" i="42"/>
  <c r="BL19" i="42"/>
  <c r="BK19" i="42"/>
  <c r="BJ19" i="42"/>
  <c r="BI19" i="42"/>
  <c r="BH19" i="42"/>
  <c r="BG19" i="42"/>
  <c r="BF19" i="42"/>
  <c r="BE19" i="42"/>
  <c r="BD19" i="42"/>
  <c r="BC19" i="42"/>
  <c r="BB19" i="42"/>
  <c r="BA19" i="42"/>
  <c r="AZ19" i="42"/>
  <c r="AY19" i="42"/>
  <c r="AX19" i="42"/>
  <c r="AW19" i="42"/>
  <c r="AV19" i="42"/>
  <c r="AU19" i="42"/>
  <c r="AT19" i="42"/>
  <c r="AS19" i="42"/>
  <c r="AR19" i="42"/>
  <c r="AQ19" i="42"/>
  <c r="AP19" i="42"/>
  <c r="AO19" i="42"/>
  <c r="AN19" i="42"/>
  <c r="AM19" i="42"/>
  <c r="AL19" i="42"/>
  <c r="AK19" i="42"/>
  <c r="AJ19" i="42"/>
  <c r="AI19" i="42"/>
  <c r="AH19" i="42"/>
  <c r="AG19" i="42"/>
  <c r="AF19" i="42"/>
  <c r="AE19" i="42"/>
  <c r="AD19" i="42"/>
  <c r="AC19" i="42"/>
  <c r="AB19" i="42"/>
  <c r="AA19" i="42"/>
  <c r="Z19" i="42"/>
  <c r="Y19" i="42"/>
  <c r="X19" i="42"/>
  <c r="W19" i="42"/>
  <c r="V19" i="42"/>
  <c r="U19" i="42"/>
  <c r="T19" i="42"/>
  <c r="S19" i="42"/>
  <c r="R19" i="42"/>
  <c r="Q19" i="42"/>
  <c r="P19" i="42"/>
  <c r="O19" i="42"/>
  <c r="N19" i="42"/>
  <c r="M19" i="42"/>
  <c r="L19" i="42"/>
  <c r="K19" i="42"/>
  <c r="J19" i="42"/>
  <c r="I19" i="42"/>
  <c r="H19" i="42"/>
  <c r="G19" i="42"/>
  <c r="F19" i="42"/>
  <c r="E19" i="42"/>
  <c r="D19" i="42"/>
  <c r="BM18" i="42"/>
  <c r="BL18" i="42"/>
  <c r="BK18" i="42"/>
  <c r="BJ18" i="42"/>
  <c r="BI18" i="42"/>
  <c r="BH18" i="42"/>
  <c r="BG18" i="42"/>
  <c r="BF18" i="42"/>
  <c r="BE18" i="42"/>
  <c r="BD18" i="42"/>
  <c r="BC18" i="42"/>
  <c r="BB18" i="42"/>
  <c r="BA18" i="42"/>
  <c r="AZ18" i="42"/>
  <c r="AY18" i="42"/>
  <c r="AX18" i="42"/>
  <c r="AW18" i="42"/>
  <c r="AV18" i="42"/>
  <c r="AU18" i="42"/>
  <c r="AT18" i="42"/>
  <c r="AS18" i="42"/>
  <c r="AR18" i="42"/>
  <c r="AQ18" i="42"/>
  <c r="AP18" i="42"/>
  <c r="AO18" i="42"/>
  <c r="AN18" i="42"/>
  <c r="AM18" i="42"/>
  <c r="AL18" i="42"/>
  <c r="AK18" i="42"/>
  <c r="AJ18" i="42"/>
  <c r="AI18" i="42"/>
  <c r="AH18" i="42"/>
  <c r="AG18" i="42"/>
  <c r="AF18" i="42"/>
  <c r="AE18" i="42"/>
  <c r="AD18" i="42"/>
  <c r="AC18" i="42"/>
  <c r="AB18" i="42"/>
  <c r="AA18" i="42"/>
  <c r="Z18" i="42"/>
  <c r="Y18" i="42"/>
  <c r="X18" i="42"/>
  <c r="W18" i="42"/>
  <c r="V18" i="42"/>
  <c r="U18" i="42"/>
  <c r="T18" i="42"/>
  <c r="S18" i="42"/>
  <c r="R18" i="42"/>
  <c r="Q18" i="42"/>
  <c r="P18" i="42"/>
  <c r="O18" i="42"/>
  <c r="N18" i="42"/>
  <c r="M18" i="42"/>
  <c r="L18" i="42"/>
  <c r="K18" i="42"/>
  <c r="J18" i="42"/>
  <c r="I18" i="42"/>
  <c r="H18" i="42"/>
  <c r="G18" i="42"/>
  <c r="F18" i="42"/>
  <c r="E18" i="42"/>
  <c r="D18" i="42"/>
  <c r="BM16" i="42"/>
  <c r="BL16" i="42"/>
  <c r="BK16" i="42"/>
  <c r="BJ16" i="42"/>
  <c r="BI16" i="42"/>
  <c r="BH16" i="42"/>
  <c r="BG16" i="42"/>
  <c r="BF16" i="42"/>
  <c r="BE16" i="42"/>
  <c r="BD16" i="42"/>
  <c r="BC16" i="42"/>
  <c r="BB16" i="42"/>
  <c r="BA16" i="42"/>
  <c r="AZ16" i="42"/>
  <c r="AY16" i="42"/>
  <c r="AX16" i="42"/>
  <c r="AW16" i="42"/>
  <c r="AV16" i="42"/>
  <c r="AU16" i="42"/>
  <c r="AT16" i="42"/>
  <c r="AS16" i="42"/>
  <c r="AR16" i="42"/>
  <c r="AQ16" i="42"/>
  <c r="AP16" i="42"/>
  <c r="AO16" i="42"/>
  <c r="AN16" i="42"/>
  <c r="AM16" i="42"/>
  <c r="AL16" i="42"/>
  <c r="AK16" i="42"/>
  <c r="AJ16" i="42"/>
  <c r="AI16" i="42"/>
  <c r="AH16" i="42"/>
  <c r="AG16" i="42"/>
  <c r="AF16" i="42"/>
  <c r="AE16" i="42"/>
  <c r="AD16" i="42"/>
  <c r="AC16" i="42"/>
  <c r="AB16" i="42"/>
  <c r="AA16" i="42"/>
  <c r="Z16" i="42"/>
  <c r="Y16" i="42"/>
  <c r="X16" i="42"/>
  <c r="W16" i="42"/>
  <c r="V16" i="42"/>
  <c r="U16" i="42"/>
  <c r="T16" i="42"/>
  <c r="S16" i="42"/>
  <c r="R16" i="42"/>
  <c r="Q16" i="42"/>
  <c r="P16" i="42"/>
  <c r="O16" i="42"/>
  <c r="N16" i="42"/>
  <c r="M16" i="42"/>
  <c r="L16" i="42"/>
  <c r="K16" i="42"/>
  <c r="J16" i="42"/>
  <c r="I16" i="42"/>
  <c r="H16" i="42"/>
  <c r="G16" i="42"/>
  <c r="F16" i="42"/>
  <c r="E16" i="42"/>
  <c r="D16" i="42"/>
  <c r="BM15" i="42"/>
  <c r="BL15" i="42"/>
  <c r="BK15" i="42"/>
  <c r="BJ15" i="42"/>
  <c r="BI15" i="42"/>
  <c r="BH15" i="42"/>
  <c r="BG15" i="42"/>
  <c r="BF15" i="42"/>
  <c r="BE15" i="42"/>
  <c r="BD15" i="42"/>
  <c r="BC15" i="42"/>
  <c r="BB15" i="42"/>
  <c r="BA15" i="42"/>
  <c r="AZ15" i="42"/>
  <c r="AY15" i="42"/>
  <c r="AX15" i="42"/>
  <c r="AW15" i="42"/>
  <c r="AV15" i="42"/>
  <c r="AU15" i="42"/>
  <c r="AT15" i="42"/>
  <c r="AS15" i="42"/>
  <c r="AR15" i="42"/>
  <c r="AQ15" i="42"/>
  <c r="AP15" i="42"/>
  <c r="AO15" i="42"/>
  <c r="AN15" i="42"/>
  <c r="AM15" i="42"/>
  <c r="AL15" i="42"/>
  <c r="AK15" i="42"/>
  <c r="AJ15" i="42"/>
  <c r="AI15" i="42"/>
  <c r="AH15" i="42"/>
  <c r="AG15" i="42"/>
  <c r="AF15" i="42"/>
  <c r="AE15" i="42"/>
  <c r="AD15" i="42"/>
  <c r="AC15" i="42"/>
  <c r="AB15" i="42"/>
  <c r="AA15" i="42"/>
  <c r="Z15" i="42"/>
  <c r="Y15" i="42"/>
  <c r="X15" i="42"/>
  <c r="W15" i="42"/>
  <c r="V15" i="42"/>
  <c r="U15" i="42"/>
  <c r="T15" i="42"/>
  <c r="S15" i="42"/>
  <c r="R15" i="42"/>
  <c r="Q15" i="42"/>
  <c r="P15" i="42"/>
  <c r="O15" i="42"/>
  <c r="N15" i="42"/>
  <c r="M15" i="42"/>
  <c r="L15" i="42"/>
  <c r="K15" i="42"/>
  <c r="J15" i="42"/>
  <c r="I15" i="42"/>
  <c r="H15" i="42"/>
  <c r="G15" i="42"/>
  <c r="F15" i="42"/>
  <c r="E15" i="42"/>
  <c r="D15" i="42"/>
  <c r="BM13" i="42"/>
  <c r="BL13" i="42"/>
  <c r="BK13" i="42"/>
  <c r="BJ13" i="42"/>
  <c r="BI13" i="42"/>
  <c r="BH13" i="42"/>
  <c r="BG13" i="42"/>
  <c r="BF13" i="42"/>
  <c r="BE13" i="42"/>
  <c r="BD13" i="42"/>
  <c r="BC13" i="42"/>
  <c r="BB13" i="42"/>
  <c r="BA13" i="42"/>
  <c r="AZ13" i="42"/>
  <c r="AY13" i="42"/>
  <c r="AX13" i="42"/>
  <c r="AW13" i="42"/>
  <c r="AV13" i="42"/>
  <c r="AU13" i="42"/>
  <c r="AT13" i="42"/>
  <c r="AS13" i="42"/>
  <c r="AR13" i="42"/>
  <c r="AQ13" i="42"/>
  <c r="AP13" i="42"/>
  <c r="AO13" i="42"/>
  <c r="AN13" i="42"/>
  <c r="AM13" i="42"/>
  <c r="AL13" i="42"/>
  <c r="AK13" i="42"/>
  <c r="AJ13" i="42"/>
  <c r="AI13" i="42"/>
  <c r="AH13" i="42"/>
  <c r="AG13" i="42"/>
  <c r="AF13" i="42"/>
  <c r="AE13" i="42"/>
  <c r="AD13" i="42"/>
  <c r="AC13" i="42"/>
  <c r="AB13" i="42"/>
  <c r="AA13" i="42"/>
  <c r="Z13" i="42"/>
  <c r="Y13" i="42"/>
  <c r="X13" i="42"/>
  <c r="W13" i="42"/>
  <c r="V13" i="42"/>
  <c r="U13" i="42"/>
  <c r="T13" i="42"/>
  <c r="S13" i="42"/>
  <c r="R13" i="42"/>
  <c r="Q13" i="42"/>
  <c r="P13" i="42"/>
  <c r="O13" i="42"/>
  <c r="N13" i="42"/>
  <c r="M13" i="42"/>
  <c r="L13" i="42"/>
  <c r="K13" i="42"/>
  <c r="J13" i="42"/>
  <c r="I13" i="42"/>
  <c r="H13" i="42"/>
  <c r="G13" i="42"/>
  <c r="F13" i="42"/>
  <c r="E13" i="42"/>
  <c r="D13" i="42"/>
  <c r="BM12" i="42"/>
  <c r="BL12" i="42"/>
  <c r="BK12" i="42"/>
  <c r="BJ12" i="42"/>
  <c r="BI12" i="42"/>
  <c r="BH12" i="42"/>
  <c r="BG12" i="42"/>
  <c r="BF12" i="42"/>
  <c r="BE12" i="42"/>
  <c r="BD12" i="42"/>
  <c r="BC12" i="42"/>
  <c r="BB12" i="42"/>
  <c r="BA12" i="42"/>
  <c r="AZ12" i="42"/>
  <c r="AY12" i="42"/>
  <c r="AX12" i="42"/>
  <c r="AW12" i="42"/>
  <c r="AV12" i="42"/>
  <c r="AU12" i="42"/>
  <c r="AT12" i="42"/>
  <c r="AS12" i="42"/>
  <c r="AR12" i="42"/>
  <c r="AQ12" i="42"/>
  <c r="AP12" i="42"/>
  <c r="AO12" i="42"/>
  <c r="AN12" i="42"/>
  <c r="AM12" i="42"/>
  <c r="AL12" i="42"/>
  <c r="AK12" i="42"/>
  <c r="AJ12" i="42"/>
  <c r="AI12" i="42"/>
  <c r="AH12" i="42"/>
  <c r="AG12" i="42"/>
  <c r="AF12" i="42"/>
  <c r="AE12" i="42"/>
  <c r="AD12" i="42"/>
  <c r="AC12" i="42"/>
  <c r="AB12" i="42"/>
  <c r="AA12" i="42"/>
  <c r="Z12" i="42"/>
  <c r="Y12" i="42"/>
  <c r="X12" i="42"/>
  <c r="W12" i="42"/>
  <c r="V12" i="42"/>
  <c r="U12" i="42"/>
  <c r="T12" i="42"/>
  <c r="S12" i="42"/>
  <c r="R12" i="42"/>
  <c r="Q12" i="42"/>
  <c r="P12" i="42"/>
  <c r="O12" i="42"/>
  <c r="N12" i="42"/>
  <c r="M12" i="42"/>
  <c r="L12" i="42"/>
  <c r="K12" i="42"/>
  <c r="J12" i="42"/>
  <c r="I12" i="42"/>
  <c r="H12" i="42"/>
  <c r="G12" i="42"/>
  <c r="F12" i="42"/>
  <c r="E12" i="42"/>
  <c r="D12" i="42"/>
  <c r="BM10" i="42"/>
  <c r="BL10" i="42"/>
  <c r="BK10" i="42"/>
  <c r="BJ10" i="42"/>
  <c r="BI10" i="42"/>
  <c r="BH10" i="42"/>
  <c r="BG10" i="42"/>
  <c r="BF10" i="42"/>
  <c r="BE10" i="42"/>
  <c r="BD10" i="42"/>
  <c r="BC10" i="42"/>
  <c r="BB10" i="42"/>
  <c r="BA10" i="42"/>
  <c r="AZ10" i="42"/>
  <c r="AY10" i="42"/>
  <c r="AX10" i="42"/>
  <c r="AW10" i="42"/>
  <c r="AV10" i="42"/>
  <c r="AU10" i="42"/>
  <c r="AT10" i="42"/>
  <c r="AS10" i="42"/>
  <c r="AR10" i="42"/>
  <c r="AQ10" i="42"/>
  <c r="AP10" i="42"/>
  <c r="AO10" i="42"/>
  <c r="AN10" i="42"/>
  <c r="AM10" i="42"/>
  <c r="AL10" i="42"/>
  <c r="AK10" i="42"/>
  <c r="AJ10" i="42"/>
  <c r="AI10" i="42"/>
  <c r="AH10" i="42"/>
  <c r="AG10" i="42"/>
  <c r="AF10" i="42"/>
  <c r="AE10" i="42"/>
  <c r="AD10" i="42"/>
  <c r="AC10" i="42"/>
  <c r="AB10" i="42"/>
  <c r="AA10" i="42"/>
  <c r="Z10" i="42"/>
  <c r="Y10" i="42"/>
  <c r="X10" i="42"/>
  <c r="W10" i="42"/>
  <c r="V10" i="42"/>
  <c r="U10" i="42"/>
  <c r="T10" i="42"/>
  <c r="S10" i="42"/>
  <c r="R10" i="42"/>
  <c r="Q10" i="42"/>
  <c r="P10" i="42"/>
  <c r="O10" i="42"/>
  <c r="N10" i="42"/>
  <c r="M10" i="42"/>
  <c r="L10" i="42"/>
  <c r="K10" i="42"/>
  <c r="J10" i="42"/>
  <c r="I10" i="42"/>
  <c r="H10" i="42"/>
  <c r="G10" i="42"/>
  <c r="F10" i="42"/>
  <c r="E10" i="42"/>
  <c r="D10" i="42"/>
  <c r="BM9" i="42"/>
  <c r="BL9" i="42"/>
  <c r="BK9" i="42"/>
  <c r="BJ9" i="42"/>
  <c r="BI9" i="42"/>
  <c r="BH9" i="42"/>
  <c r="BG9" i="42"/>
  <c r="BF9" i="42"/>
  <c r="BE9" i="42"/>
  <c r="BD9" i="42"/>
  <c r="BC9" i="42"/>
  <c r="BB9" i="42"/>
  <c r="BA9" i="42"/>
  <c r="AZ9" i="42"/>
  <c r="AY9" i="42"/>
  <c r="AX9" i="42"/>
  <c r="AW9" i="42"/>
  <c r="AV9" i="42"/>
  <c r="AU9" i="42"/>
  <c r="AT9" i="42"/>
  <c r="AS9" i="42"/>
  <c r="AR9" i="42"/>
  <c r="AQ9" i="42"/>
  <c r="AP9" i="42"/>
  <c r="AO9" i="42"/>
  <c r="AN9" i="42"/>
  <c r="AM9" i="42"/>
  <c r="AL9" i="42"/>
  <c r="AK9" i="42"/>
  <c r="AJ9" i="42"/>
  <c r="AI9" i="42"/>
  <c r="AH9" i="42"/>
  <c r="AG9" i="42"/>
  <c r="AF9" i="42"/>
  <c r="AE9" i="42"/>
  <c r="AD9" i="42"/>
  <c r="AC9" i="42"/>
  <c r="AB9" i="42"/>
  <c r="AA9" i="42"/>
  <c r="Z9" i="42"/>
  <c r="Y9" i="42"/>
  <c r="X9" i="42"/>
  <c r="W9" i="42"/>
  <c r="V9" i="42"/>
  <c r="U9" i="42"/>
  <c r="T9" i="42"/>
  <c r="S9" i="42"/>
  <c r="R9" i="42"/>
  <c r="Q9" i="42"/>
  <c r="P9" i="42"/>
  <c r="O9" i="42"/>
  <c r="N9" i="42"/>
  <c r="M9" i="42"/>
  <c r="L9" i="42"/>
  <c r="K9" i="42"/>
  <c r="J9" i="42"/>
  <c r="I9" i="42"/>
  <c r="H9" i="42"/>
  <c r="G9" i="42"/>
  <c r="F9" i="42"/>
  <c r="E9" i="42"/>
  <c r="D9" i="42"/>
  <c r="BM7" i="42"/>
  <c r="BL7" i="42"/>
  <c r="BK7" i="42"/>
  <c r="BJ7" i="42"/>
  <c r="BI7" i="42"/>
  <c r="BH7" i="42"/>
  <c r="BG7" i="42"/>
  <c r="BF7" i="42"/>
  <c r="BE7" i="42"/>
  <c r="BD7" i="42"/>
  <c r="BC7" i="42"/>
  <c r="BB7" i="42"/>
  <c r="BA7" i="42"/>
  <c r="AZ7" i="42"/>
  <c r="AY7" i="42"/>
  <c r="AX7" i="42"/>
  <c r="AW7" i="42"/>
  <c r="AV7" i="42"/>
  <c r="AU7" i="42"/>
  <c r="AT7" i="42"/>
  <c r="AS7" i="42"/>
  <c r="AR7" i="42"/>
  <c r="AQ7" i="42"/>
  <c r="AP7" i="42"/>
  <c r="AO7" i="42"/>
  <c r="AN7" i="42"/>
  <c r="AM7" i="42"/>
  <c r="AL7" i="42"/>
  <c r="AK7" i="42"/>
  <c r="AJ7" i="42"/>
  <c r="AI7" i="42"/>
  <c r="AH7" i="42"/>
  <c r="AG7" i="42"/>
  <c r="AF7" i="42"/>
  <c r="AE7" i="42"/>
  <c r="AD7" i="42"/>
  <c r="AC7" i="42"/>
  <c r="AB7" i="42"/>
  <c r="AA7" i="42"/>
  <c r="Z7" i="42"/>
  <c r="Y7" i="42"/>
  <c r="X7" i="42"/>
  <c r="W7" i="42"/>
  <c r="V7" i="42"/>
  <c r="U7" i="42"/>
  <c r="T7" i="42"/>
  <c r="S7" i="42"/>
  <c r="R7" i="42"/>
  <c r="Q7" i="42"/>
  <c r="P7" i="42"/>
  <c r="O7" i="42"/>
  <c r="N7" i="42"/>
  <c r="M7" i="42"/>
  <c r="L7" i="42"/>
  <c r="K7" i="42"/>
  <c r="J7" i="42"/>
  <c r="I7" i="42"/>
  <c r="H7" i="42"/>
  <c r="G7" i="42"/>
  <c r="F7" i="42"/>
  <c r="BM6" i="42"/>
  <c r="BL6" i="42"/>
  <c r="BK6" i="42"/>
  <c r="BJ6" i="42"/>
  <c r="BI6" i="42"/>
  <c r="BH6" i="42"/>
  <c r="BH8" i="42" s="1" a="1"/>
  <c r="BH8" i="42" s="1"/>
  <c r="BG6" i="42"/>
  <c r="BF6" i="42"/>
  <c r="BE6" i="42"/>
  <c r="BD6" i="42"/>
  <c r="BC6" i="42"/>
  <c r="BB6" i="42"/>
  <c r="BA6" i="42"/>
  <c r="AZ6" i="42"/>
  <c r="AY6" i="42"/>
  <c r="AX6" i="42"/>
  <c r="AW6" i="42"/>
  <c r="AV6" i="42"/>
  <c r="AU6" i="42"/>
  <c r="AT6" i="42"/>
  <c r="AS6" i="42"/>
  <c r="AR6" i="42"/>
  <c r="AQ6" i="42"/>
  <c r="AP6" i="42"/>
  <c r="AO6" i="42"/>
  <c r="AN6" i="42"/>
  <c r="AM6" i="42"/>
  <c r="AL6" i="42"/>
  <c r="AK6" i="42"/>
  <c r="AJ6" i="42"/>
  <c r="AI6" i="42"/>
  <c r="AH6" i="42"/>
  <c r="AG6" i="42"/>
  <c r="AF6" i="42"/>
  <c r="AE6" i="42"/>
  <c r="AD6" i="42"/>
  <c r="AC6" i="42"/>
  <c r="AB6" i="42"/>
  <c r="AA6" i="42"/>
  <c r="Z6" i="42"/>
  <c r="Y6" i="42"/>
  <c r="X6" i="42"/>
  <c r="W6" i="42"/>
  <c r="V6" i="42"/>
  <c r="U6" i="42"/>
  <c r="T6" i="42"/>
  <c r="S6" i="42"/>
  <c r="R6" i="42"/>
  <c r="Q6" i="42"/>
  <c r="P6" i="42"/>
  <c r="O6" i="42"/>
  <c r="N6" i="42"/>
  <c r="M6" i="42"/>
  <c r="L6" i="42"/>
  <c r="K6" i="42"/>
  <c r="J6" i="42"/>
  <c r="I6" i="42"/>
  <c r="H6" i="42"/>
  <c r="G6" i="42"/>
  <c r="F6" i="42"/>
  <c r="E7" i="42"/>
  <c r="D6" i="42"/>
  <c r="E6" i="42"/>
  <c r="D7" i="42"/>
  <c r="B39" i="42"/>
  <c r="B36" i="42"/>
  <c r="B33" i="42"/>
  <c r="B30" i="42"/>
  <c r="B27" i="42"/>
  <c r="B24" i="42"/>
  <c r="B21" i="42"/>
  <c r="B18" i="42"/>
  <c r="B15" i="42"/>
  <c r="B12" i="42"/>
  <c r="B9" i="42"/>
  <c r="B6" i="42"/>
  <c r="D4" i="42"/>
  <c r="F4" i="42" s="1"/>
  <c r="H4" i="42" s="1"/>
  <c r="J4" i="42" s="1"/>
  <c r="L4" i="42" s="1"/>
  <c r="N4" i="42" s="1"/>
  <c r="P4" i="42" s="1"/>
  <c r="R4" i="42" s="1"/>
  <c r="T4" i="42" s="1"/>
  <c r="V4" i="42" s="1"/>
  <c r="X4" i="42" s="1"/>
  <c r="Z4" i="42" s="1"/>
  <c r="AB4" i="42" s="1"/>
  <c r="AD4" i="42" s="1"/>
  <c r="AF4" i="42" s="1"/>
  <c r="AH4" i="42" s="1"/>
  <c r="AJ4" i="42" s="1"/>
  <c r="AL4" i="42" s="1"/>
  <c r="AN4" i="42" s="1"/>
  <c r="AP4" i="42" s="1"/>
  <c r="AR4" i="42" s="1"/>
  <c r="AT4" i="42" s="1"/>
  <c r="AV4" i="42" s="1"/>
  <c r="AX4" i="42" s="1"/>
  <c r="AZ4" i="42" s="1"/>
  <c r="BB4" i="42" s="1"/>
  <c r="BD4" i="42" s="1"/>
  <c r="BF4" i="42" s="1"/>
  <c r="BH4" i="42" s="1"/>
  <c r="BJ4" i="42" s="1"/>
  <c r="A4" i="42"/>
  <c r="D18" i="1" a="1"/>
  <c r="E18" i="1" a="1"/>
  <c r="AF18" i="1" l="1"/>
  <c r="E18" i="1"/>
  <c r="D18" i="1"/>
  <c r="AG18" i="1"/>
  <c r="AE18" i="1"/>
  <c r="AV8" i="42" a="1"/>
  <c r="AV8" i="42" s="1"/>
  <c r="AZ32" i="42" a="1"/>
  <c r="AZ32" i="42" s="1"/>
  <c r="Z35" i="42" a="1"/>
  <c r="Z35" i="42" s="1"/>
  <c r="AB38" i="42" a="1"/>
  <c r="AB38" i="42" s="1"/>
  <c r="AD41" i="42" a="1"/>
  <c r="AD41" i="42" s="1"/>
  <c r="AL35" i="42" a="1"/>
  <c r="AL35" i="42" s="1"/>
  <c r="BL32" i="42" a="1"/>
  <c r="BL32" i="42" s="1"/>
  <c r="AP41" i="42" a="1"/>
  <c r="AP41" i="42" s="1"/>
  <c r="AJ8" i="42" a="1"/>
  <c r="AJ8" i="42" s="1"/>
  <c r="AN32" i="42" a="1"/>
  <c r="AN32" i="42" s="1"/>
  <c r="N35" i="42" a="1"/>
  <c r="N35" i="42" s="1"/>
  <c r="P38" i="42" a="1"/>
  <c r="P38" i="42" s="1"/>
  <c r="AD38" i="42" a="1"/>
  <c r="AD38" i="42" s="1"/>
  <c r="BF38" i="42" a="1"/>
  <c r="BF38" i="42" s="1"/>
  <c r="R41" i="42" a="1"/>
  <c r="R41" i="42" s="1"/>
  <c r="BH41" i="42" a="1"/>
  <c r="BH41" i="42" s="1"/>
  <c r="F29" i="42" a="1"/>
  <c r="F29" i="42" s="1"/>
  <c r="AN38" i="42" a="1"/>
  <c r="AN38" i="42" s="1"/>
  <c r="BF26" i="42" a="1"/>
  <c r="BF26" i="42" s="1"/>
  <c r="BJ26" i="42" a="1"/>
  <c r="BJ26" i="42" s="1"/>
  <c r="AX26" i="42" a="1"/>
  <c r="AX26" i="42" s="1"/>
  <c r="AT26" i="42" a="1"/>
  <c r="AT26" i="42" s="1"/>
  <c r="AL26" i="42" a="1"/>
  <c r="AL26" i="42" s="1"/>
  <c r="AH26" i="42" a="1"/>
  <c r="AH26" i="42" s="1"/>
  <c r="Z26" i="42" a="1"/>
  <c r="Z26" i="42" s="1"/>
  <c r="V26" i="42" a="1"/>
  <c r="V26" i="42" s="1"/>
  <c r="J26" i="42" a="1"/>
  <c r="J26" i="42" s="1"/>
  <c r="N26" i="42" a="1"/>
  <c r="N26" i="42" s="1"/>
  <c r="BN8" i="2"/>
  <c r="BN7" i="2" s="1"/>
  <c r="BN41" i="2"/>
  <c r="BN40" i="2" s="1"/>
  <c r="BN17" i="2"/>
  <c r="BN16" i="2" s="1"/>
  <c r="BN20" i="2"/>
  <c r="BN19" i="2" s="1"/>
  <c r="BN14" i="2"/>
  <c r="BN13" i="2" s="1"/>
  <c r="BN11" i="2"/>
  <c r="BN10" i="2" s="1"/>
  <c r="F26" i="42" a="1"/>
  <c r="F26" i="42" s="1"/>
  <c r="X8" i="42" a="1"/>
  <c r="X8" i="42" s="1"/>
  <c r="BN26" i="2"/>
  <c r="BN25" i="2" s="1"/>
  <c r="F8" i="42" a="1"/>
  <c r="F8" i="42" s="1"/>
  <c r="R8" i="42" a="1"/>
  <c r="R8" i="42" s="1"/>
  <c r="AD8" i="42" a="1"/>
  <c r="AD8" i="42" s="1"/>
  <c r="AP8" i="42" a="1"/>
  <c r="AP8" i="42" s="1"/>
  <c r="BB8" i="42" a="1"/>
  <c r="BB8" i="42" s="1"/>
  <c r="X14" i="42" a="1"/>
  <c r="X14" i="42" s="1"/>
  <c r="AJ14" i="42" a="1"/>
  <c r="AJ14" i="42" s="1"/>
  <c r="AV14" i="42" a="1"/>
  <c r="AV14" i="42" s="1"/>
  <c r="BH14" i="42" a="1"/>
  <c r="BH14" i="42" s="1"/>
  <c r="V11" i="42" a="1"/>
  <c r="V11" i="42" s="1"/>
  <c r="AH11" i="42" a="1"/>
  <c r="AH11" i="42" s="1"/>
  <c r="AT11" i="42" a="1"/>
  <c r="AT11" i="42" s="1"/>
  <c r="BF11" i="42" a="1"/>
  <c r="BF11" i="42" s="1"/>
  <c r="F14" i="42" a="1"/>
  <c r="F14" i="42" s="1"/>
  <c r="R14" i="42" a="1"/>
  <c r="R14" i="42" s="1"/>
  <c r="AD14" i="42" a="1"/>
  <c r="AD14" i="42" s="1"/>
  <c r="AP14" i="42" a="1"/>
  <c r="AP14" i="42" s="1"/>
  <c r="BB14" i="42" a="1"/>
  <c r="BB14" i="42" s="1"/>
  <c r="J20" i="42" a="1"/>
  <c r="J20" i="42" s="1"/>
  <c r="V20" i="42" a="1"/>
  <c r="V20" i="42" s="1"/>
  <c r="AH20" i="42" a="1"/>
  <c r="AH20" i="42" s="1"/>
  <c r="AT20" i="42" a="1"/>
  <c r="AT20" i="42" s="1"/>
  <c r="BF20" i="42" a="1"/>
  <c r="BF20" i="42" s="1"/>
  <c r="F23" i="42" a="1"/>
  <c r="F23" i="42" s="1"/>
  <c r="R23" i="42" a="1"/>
  <c r="R23" i="42" s="1"/>
  <c r="AD23" i="42" a="1"/>
  <c r="AD23" i="42" s="1"/>
  <c r="AP23" i="42" a="1"/>
  <c r="AP23" i="42" s="1"/>
  <c r="BB23" i="42" a="1"/>
  <c r="BB23" i="42" s="1"/>
  <c r="N8" i="42" a="1"/>
  <c r="N8" i="42" s="1"/>
  <c r="Z8" i="42" a="1"/>
  <c r="Z8" i="42" s="1"/>
  <c r="AL8" i="42" a="1"/>
  <c r="AL8" i="42" s="1"/>
  <c r="AX8" i="42" a="1"/>
  <c r="AX8" i="42" s="1"/>
  <c r="BJ8" i="42" a="1"/>
  <c r="BJ8" i="42" s="1"/>
  <c r="L20" i="42" a="1"/>
  <c r="L20" i="42" s="1"/>
  <c r="BN23" i="2"/>
  <c r="BN22" i="2" s="1"/>
  <c r="N14" i="42" a="1"/>
  <c r="N14" i="42" s="1"/>
  <c r="Z14" i="42" a="1"/>
  <c r="Z14" i="42" s="1"/>
  <c r="AL14" i="42" a="1"/>
  <c r="AL14" i="42" s="1"/>
  <c r="AX14" i="42" a="1"/>
  <c r="AX14" i="42" s="1"/>
  <c r="BJ14" i="42" a="1"/>
  <c r="BJ14" i="42" s="1"/>
  <c r="J17" i="42" a="1"/>
  <c r="J17" i="42" s="1"/>
  <c r="V17" i="42" a="1"/>
  <c r="V17" i="42" s="1"/>
  <c r="AH17" i="42" a="1"/>
  <c r="AH17" i="42" s="1"/>
  <c r="AT17" i="42" a="1"/>
  <c r="AT17" i="42" s="1"/>
  <c r="BF17" i="42" a="1"/>
  <c r="BF17" i="42" s="1"/>
  <c r="N23" i="42" a="1"/>
  <c r="N23" i="42" s="1"/>
  <c r="Z23" i="42" a="1"/>
  <c r="Z23" i="42" s="1"/>
  <c r="AL23" i="42" a="1"/>
  <c r="AL23" i="42" s="1"/>
  <c r="AX23" i="42" a="1"/>
  <c r="AX23" i="42" s="1"/>
  <c r="BJ23" i="42" a="1"/>
  <c r="BJ23" i="42" s="1"/>
  <c r="J8" i="42" a="1"/>
  <c r="J8" i="42" s="1"/>
  <c r="V8" i="42" a="1"/>
  <c r="V8" i="42" s="1"/>
  <c r="AH8" i="42" a="1"/>
  <c r="AH8" i="42" s="1"/>
  <c r="AT8" i="42" a="1"/>
  <c r="AT8" i="42" s="1"/>
  <c r="BF8" i="42" a="1"/>
  <c r="BF8" i="42" s="1"/>
  <c r="D14" i="42" a="1"/>
  <c r="D14" i="42" s="1"/>
  <c r="P14" i="42" a="1"/>
  <c r="P14" i="42" s="1"/>
  <c r="AB14" i="42" a="1"/>
  <c r="AB14" i="42" s="1"/>
  <c r="AN14" i="42" a="1"/>
  <c r="AN14" i="42" s="1"/>
  <c r="AZ14" i="42" a="1"/>
  <c r="AZ14" i="42" s="1"/>
  <c r="D23" i="42" a="1"/>
  <c r="D23" i="42" s="1"/>
  <c r="P23" i="42" a="1"/>
  <c r="P23" i="42" s="1"/>
  <c r="AB23" i="42" a="1"/>
  <c r="AB23" i="42" s="1"/>
  <c r="AN23" i="42" a="1"/>
  <c r="AN23" i="42" s="1"/>
  <c r="AZ23" i="42" a="1"/>
  <c r="AZ23" i="42" s="1"/>
  <c r="BL23" i="42" a="1"/>
  <c r="BL23" i="42" s="1"/>
  <c r="R26" i="42" a="1"/>
  <c r="R26" i="42" s="1"/>
  <c r="R20" i="42" a="1"/>
  <c r="R20" i="42" s="1"/>
  <c r="BB20" i="42" a="1"/>
  <c r="BB20" i="42" s="1"/>
  <c r="AD26" i="42" a="1"/>
  <c r="AD26" i="42" s="1"/>
  <c r="R11" i="42" a="1"/>
  <c r="R11" i="42" s="1"/>
  <c r="AD11" i="42" a="1"/>
  <c r="AD11" i="42" s="1"/>
  <c r="AP11" i="42" a="1"/>
  <c r="AP11" i="42" s="1"/>
  <c r="BB11" i="42" a="1"/>
  <c r="BB11" i="42" s="1"/>
  <c r="AD20" i="42" a="1"/>
  <c r="AD20" i="42" s="1"/>
  <c r="AP20" i="42" a="1"/>
  <c r="AP20" i="42" s="1"/>
  <c r="X11" i="42" a="1"/>
  <c r="X11" i="42" s="1"/>
  <c r="AJ11" i="42" a="1"/>
  <c r="AJ11" i="42" s="1"/>
  <c r="AV11" i="42" a="1"/>
  <c r="AV11" i="42" s="1"/>
  <c r="BH11" i="42" a="1"/>
  <c r="BH11" i="42" s="1"/>
  <c r="X20" i="42" a="1"/>
  <c r="X20" i="42" s="1"/>
  <c r="AJ20" i="42" a="1"/>
  <c r="AJ20" i="42" s="1"/>
  <c r="AV20" i="42" a="1"/>
  <c r="AV20" i="42" s="1"/>
  <c r="BH20" i="42" a="1"/>
  <c r="BH20" i="42" s="1"/>
  <c r="X29" i="42" a="1"/>
  <c r="X29" i="42" s="1"/>
  <c r="AJ29" i="42" a="1"/>
  <c r="AJ29" i="42" s="1"/>
  <c r="AV29" i="42" a="1"/>
  <c r="AV29" i="42" s="1"/>
  <c r="R32" i="42" a="1"/>
  <c r="R32" i="42" s="1"/>
  <c r="AD32" i="42" a="1"/>
  <c r="AD32" i="42" s="1"/>
  <c r="AP32" i="42" a="1"/>
  <c r="AP32" i="42" s="1"/>
  <c r="BB32" i="42" a="1"/>
  <c r="BB32" i="42" s="1"/>
  <c r="Z11" i="42" a="1"/>
  <c r="Z11" i="42" s="1"/>
  <c r="AL11" i="42" a="1"/>
  <c r="AL11" i="42" s="1"/>
  <c r="AX11" i="42" a="1"/>
  <c r="AX11" i="42" s="1"/>
  <c r="BJ11" i="42" a="1"/>
  <c r="BJ11" i="42" s="1"/>
  <c r="R17" i="42" a="1"/>
  <c r="R17" i="42" s="1"/>
  <c r="AD17" i="42" a="1"/>
  <c r="AD17" i="42" s="1"/>
  <c r="AP17" i="42" a="1"/>
  <c r="AP17" i="42" s="1"/>
  <c r="BB17" i="42" a="1"/>
  <c r="BB17" i="42" s="1"/>
  <c r="Z20" i="42" a="1"/>
  <c r="Z20" i="42" s="1"/>
  <c r="AL20" i="42" a="1"/>
  <c r="AL20" i="42" s="1"/>
  <c r="AX20" i="42" a="1"/>
  <c r="AX20" i="42" s="1"/>
  <c r="BJ20" i="42" a="1"/>
  <c r="BJ20" i="42" s="1"/>
  <c r="V32" i="42" a="1"/>
  <c r="V32" i="42" s="1"/>
  <c r="AH32" i="42" a="1"/>
  <c r="AH32" i="42" s="1"/>
  <c r="AT32" i="42" a="1"/>
  <c r="AT32" i="42" s="1"/>
  <c r="BF32" i="42" a="1"/>
  <c r="BF32" i="42" s="1"/>
  <c r="R35" i="42" a="1"/>
  <c r="R35" i="42" s="1"/>
  <c r="AD35" i="42" a="1"/>
  <c r="AD35" i="42" s="1"/>
  <c r="AP35" i="42" a="1"/>
  <c r="AP35" i="42" s="1"/>
  <c r="BB35" i="42" a="1"/>
  <c r="BB35" i="42" s="1"/>
  <c r="Z38" i="42" a="1"/>
  <c r="Z38" i="42" s="1"/>
  <c r="AL38" i="42" a="1"/>
  <c r="AL38" i="42" s="1"/>
  <c r="AX38" i="42" a="1"/>
  <c r="AX38" i="42" s="1"/>
  <c r="BJ38" i="42" a="1"/>
  <c r="BJ38" i="42" s="1"/>
  <c r="V41" i="42" a="1"/>
  <c r="V41" i="42" s="1"/>
  <c r="AH41" i="42" a="1"/>
  <c r="AH41" i="42" s="1"/>
  <c r="AT41" i="42" a="1"/>
  <c r="AT41" i="42" s="1"/>
  <c r="BF41" i="42" a="1"/>
  <c r="BF41" i="42" s="1"/>
  <c r="F38" i="42" a="1"/>
  <c r="F38" i="42" s="1"/>
  <c r="L11" i="42" a="1"/>
  <c r="L11" i="42" s="1"/>
  <c r="F32" i="42" a="1"/>
  <c r="F32" i="42" s="1"/>
  <c r="N11" i="42" a="1"/>
  <c r="N11" i="42" s="1"/>
  <c r="F17" i="42" a="1"/>
  <c r="F17" i="42" s="1"/>
  <c r="J32" i="42" a="1"/>
  <c r="J32" i="42" s="1"/>
  <c r="F35" i="42" a="1"/>
  <c r="F35" i="42" s="1"/>
  <c r="N38" i="42" a="1"/>
  <c r="N38" i="42" s="1"/>
  <c r="J41" i="42" a="1"/>
  <c r="J41" i="42" s="1"/>
  <c r="BL14" i="42" a="1"/>
  <c r="BL14" i="42" s="1"/>
  <c r="L35" i="42" a="1"/>
  <c r="L35" i="42" s="1"/>
  <c r="X35" i="42" a="1"/>
  <c r="X35" i="42" s="1"/>
  <c r="AJ35" i="42" a="1"/>
  <c r="AJ35" i="42" s="1"/>
  <c r="AV35" i="42" a="1"/>
  <c r="AV35" i="42" s="1"/>
  <c r="BH35" i="42" a="1"/>
  <c r="BH35" i="42" s="1"/>
  <c r="AP38" i="42" a="1"/>
  <c r="AP38" i="42" s="1"/>
  <c r="BB38" i="42" a="1"/>
  <c r="BB38" i="42" s="1"/>
  <c r="T20" i="42" a="1"/>
  <c r="T20" i="42" s="1"/>
  <c r="AF20" i="42" a="1"/>
  <c r="AF20" i="42" s="1"/>
  <c r="AR20" i="42" a="1"/>
  <c r="AR20" i="42" s="1"/>
  <c r="BD20" i="42" a="1"/>
  <c r="BD20" i="42" s="1"/>
  <c r="F11" i="42" a="1"/>
  <c r="F11" i="42" s="1"/>
  <c r="H26" i="42" a="1"/>
  <c r="H26" i="42" s="1"/>
  <c r="T26" i="42" a="1"/>
  <c r="T26" i="42" s="1"/>
  <c r="AF26" i="42" a="1"/>
  <c r="AF26" i="42" s="1"/>
  <c r="AR26" i="42" a="1"/>
  <c r="AR26" i="42" s="1"/>
  <c r="BD26" i="42" a="1"/>
  <c r="BD26" i="42" s="1"/>
  <c r="T11" i="42" a="1"/>
  <c r="T11" i="42" s="1"/>
  <c r="AF11" i="42" a="1"/>
  <c r="AF11" i="42" s="1"/>
  <c r="AR11" i="42" a="1"/>
  <c r="AR11" i="42" s="1"/>
  <c r="BD11" i="42" a="1"/>
  <c r="BD11" i="42" s="1"/>
  <c r="T17" i="42" a="1"/>
  <c r="T17" i="42" s="1"/>
  <c r="AF17" i="42" a="1"/>
  <c r="AF17" i="42" s="1"/>
  <c r="AR17" i="42" a="1"/>
  <c r="AR17" i="42" s="1"/>
  <c r="BD17" i="42" a="1"/>
  <c r="BD17" i="42" s="1"/>
  <c r="H41" i="42" a="1"/>
  <c r="H41" i="42" s="1"/>
  <c r="T41" i="42" a="1"/>
  <c r="T41" i="42" s="1"/>
  <c r="AF41" i="42" a="1"/>
  <c r="AF41" i="42" s="1"/>
  <c r="AR41" i="42" a="1"/>
  <c r="AR41" i="42" s="1"/>
  <c r="BD41" i="42" a="1"/>
  <c r="BD41" i="42" s="1"/>
  <c r="H32" i="42" a="1"/>
  <c r="H32" i="42" s="1"/>
  <c r="T32" i="42" a="1"/>
  <c r="T32" i="42" s="1"/>
  <c r="AF32" i="42" a="1"/>
  <c r="AF32" i="42" s="1"/>
  <c r="AR32" i="42" a="1"/>
  <c r="AR32" i="42" s="1"/>
  <c r="BD32" i="42" a="1"/>
  <c r="BD32" i="42" s="1"/>
  <c r="D26" i="42" a="1"/>
  <c r="D26" i="42" s="1"/>
  <c r="P26" i="42" a="1"/>
  <c r="P26" i="42" s="1"/>
  <c r="AB26" i="42" a="1"/>
  <c r="AB26" i="42" s="1"/>
  <c r="AN26" i="42" a="1"/>
  <c r="AN26" i="42" s="1"/>
  <c r="AZ26" i="42" a="1"/>
  <c r="AZ26" i="42" s="1"/>
  <c r="BL26" i="42" a="1"/>
  <c r="BL26" i="42" s="1"/>
  <c r="L32" i="42" a="1"/>
  <c r="L32" i="42" s="1"/>
  <c r="X32" i="42" a="1"/>
  <c r="X32" i="42" s="1"/>
  <c r="AJ32" i="42" a="1"/>
  <c r="AJ32" i="42" s="1"/>
  <c r="AV32" i="42" a="1"/>
  <c r="AV32" i="42" s="1"/>
  <c r="BH32" i="42" a="1"/>
  <c r="BH32" i="42" s="1"/>
  <c r="D11" i="42" a="1"/>
  <c r="D11" i="42" s="1"/>
  <c r="P11" i="42" a="1"/>
  <c r="P11" i="42" s="1"/>
  <c r="AB11" i="42" a="1"/>
  <c r="AB11" i="42" s="1"/>
  <c r="AN11" i="42" a="1"/>
  <c r="AN11" i="42" s="1"/>
  <c r="AZ11" i="42" a="1"/>
  <c r="AZ11" i="42" s="1"/>
  <c r="BL11" i="42" a="1"/>
  <c r="BL11" i="42" s="1"/>
  <c r="J29" i="42" a="1"/>
  <c r="J29" i="42" s="1"/>
  <c r="V29" i="42" a="1"/>
  <c r="V29" i="42" s="1"/>
  <c r="AH29" i="42" a="1"/>
  <c r="AH29" i="42" s="1"/>
  <c r="AT29" i="42" a="1"/>
  <c r="AT29" i="42" s="1"/>
  <c r="BF29" i="42" a="1"/>
  <c r="BF29" i="42" s="1"/>
  <c r="H29" i="42" a="1"/>
  <c r="H29" i="42" s="1"/>
  <c r="T29" i="42" a="1"/>
  <c r="T29" i="42" s="1"/>
  <c r="AF29" i="42" a="1"/>
  <c r="AF29" i="42" s="1"/>
  <c r="AR29" i="42" a="1"/>
  <c r="AR29" i="42" s="1"/>
  <c r="BD29" i="42" a="1"/>
  <c r="BD29" i="42" s="1"/>
  <c r="D35" i="42" a="1"/>
  <c r="D35" i="42" s="1"/>
  <c r="P35" i="42" a="1"/>
  <c r="P35" i="42" s="1"/>
  <c r="AB35" i="42" a="1"/>
  <c r="AB35" i="42" s="1"/>
  <c r="AN35" i="42" a="1"/>
  <c r="AN35" i="42" s="1"/>
  <c r="AZ35" i="42" a="1"/>
  <c r="AZ35" i="42" s="1"/>
  <c r="BL35" i="42" a="1"/>
  <c r="BL35" i="42" s="1"/>
  <c r="H38" i="42" a="1"/>
  <c r="H38" i="42" s="1"/>
  <c r="T38" i="42" a="1"/>
  <c r="T38" i="42" s="1"/>
  <c r="AF38" i="42" a="1"/>
  <c r="AF38" i="42" s="1"/>
  <c r="AR38" i="42" a="1"/>
  <c r="AR38" i="42" s="1"/>
  <c r="BD38" i="42" a="1"/>
  <c r="BD38" i="42" s="1"/>
  <c r="AB17" i="42" a="1"/>
  <c r="AB17" i="42" s="1"/>
  <c r="AN17" i="42" a="1"/>
  <c r="AN17" i="42" s="1"/>
  <c r="AZ17" i="42" a="1"/>
  <c r="AZ17" i="42" s="1"/>
  <c r="BL17" i="42" a="1"/>
  <c r="BL17" i="42" s="1"/>
  <c r="F20" i="42" a="1"/>
  <c r="F20" i="42" s="1"/>
  <c r="L23" i="42" a="1"/>
  <c r="L23" i="42" s="1"/>
  <c r="X23" i="42" a="1"/>
  <c r="X23" i="42" s="1"/>
  <c r="AJ23" i="42" a="1"/>
  <c r="AJ23" i="42" s="1"/>
  <c r="AV23" i="42" a="1"/>
  <c r="AV23" i="42" s="1"/>
  <c r="BH23" i="42" a="1"/>
  <c r="BH23" i="42" s="1"/>
  <c r="AP26" i="42" a="1"/>
  <c r="AP26" i="42" s="1"/>
  <c r="BB26" i="42" a="1"/>
  <c r="BB26" i="42" s="1"/>
  <c r="N32" i="42" a="1"/>
  <c r="N32" i="42" s="1"/>
  <c r="Z32" i="42" a="1"/>
  <c r="Z32" i="42" s="1"/>
  <c r="AL32" i="42" a="1"/>
  <c r="AL32" i="42" s="1"/>
  <c r="AX32" i="42" a="1"/>
  <c r="AX32" i="42" s="1"/>
  <c r="BJ32" i="42" a="1"/>
  <c r="BJ32" i="42" s="1"/>
  <c r="X17" i="42" a="1"/>
  <c r="X17" i="42" s="1"/>
  <c r="AJ17" i="42" a="1"/>
  <c r="AJ17" i="42" s="1"/>
  <c r="AV17" i="42" a="1"/>
  <c r="AV17" i="42" s="1"/>
  <c r="BH17" i="42" a="1"/>
  <c r="BH17" i="42" s="1"/>
  <c r="AB20" i="42" a="1"/>
  <c r="AB20" i="42" s="1"/>
  <c r="AN20" i="42" a="1"/>
  <c r="AN20" i="42" s="1"/>
  <c r="AZ20" i="42" a="1"/>
  <c r="AZ20" i="42" s="1"/>
  <c r="BL20" i="42" a="1"/>
  <c r="BL20" i="42" s="1"/>
  <c r="N29" i="42" a="1"/>
  <c r="N29" i="42" s="1"/>
  <c r="Z29" i="42" a="1"/>
  <c r="Z29" i="42" s="1"/>
  <c r="AL29" i="42" a="1"/>
  <c r="AL29" i="42" s="1"/>
  <c r="AX29" i="42" a="1"/>
  <c r="AX29" i="42" s="1"/>
  <c r="BJ29" i="42" a="1"/>
  <c r="BJ29" i="42" s="1"/>
  <c r="N41" i="42" a="1"/>
  <c r="N41" i="42" s="1"/>
  <c r="Z41" i="42" a="1"/>
  <c r="Z41" i="42" s="1"/>
  <c r="AL41" i="42" a="1"/>
  <c r="AL41" i="42" s="1"/>
  <c r="AX41" i="42" a="1"/>
  <c r="AX41" i="42" s="1"/>
  <c r="BJ41" i="42" a="1"/>
  <c r="BJ41" i="42" s="1"/>
  <c r="L26" i="42" a="1"/>
  <c r="L26" i="42" s="1"/>
  <c r="X26" i="42" a="1"/>
  <c r="X26" i="42" s="1"/>
  <c r="AJ26" i="42" a="1"/>
  <c r="AJ26" i="42" s="1"/>
  <c r="AV26" i="42" a="1"/>
  <c r="AV26" i="42" s="1"/>
  <c r="BH26" i="42" a="1"/>
  <c r="BH26" i="42" s="1"/>
  <c r="L38" i="42" a="1"/>
  <c r="L38" i="42" s="1"/>
  <c r="X38" i="42" a="1"/>
  <c r="X38" i="42" s="1"/>
  <c r="AJ38" i="42" a="1"/>
  <c r="AJ38" i="42" s="1"/>
  <c r="AV38" i="42" a="1"/>
  <c r="AV38" i="42" s="1"/>
  <c r="BH38" i="42" a="1"/>
  <c r="BH38" i="42" s="1"/>
  <c r="V14" i="42" a="1"/>
  <c r="V14" i="42" s="1"/>
  <c r="AH14" i="42" a="1"/>
  <c r="AH14" i="42" s="1"/>
  <c r="AT14" i="42" a="1"/>
  <c r="AT14" i="42" s="1"/>
  <c r="BF14" i="42" a="1"/>
  <c r="BF14" i="42" s="1"/>
  <c r="T14" i="42" a="1"/>
  <c r="T14" i="42" s="1"/>
  <c r="AF14" i="42" a="1"/>
  <c r="AF14" i="42" s="1"/>
  <c r="AR14" i="42" a="1"/>
  <c r="AR14" i="42" s="1"/>
  <c r="BD14" i="42" a="1"/>
  <c r="BD14" i="42" s="1"/>
  <c r="Z17" i="42" a="1"/>
  <c r="Z17" i="42" s="1"/>
  <c r="AL17" i="42" a="1"/>
  <c r="AL17" i="42" s="1"/>
  <c r="AX17" i="42" a="1"/>
  <c r="AX17" i="42" s="1"/>
  <c r="BJ17" i="42" a="1"/>
  <c r="BJ17" i="42" s="1"/>
  <c r="J23" i="42" a="1"/>
  <c r="J23" i="42" s="1"/>
  <c r="V23" i="42" a="1"/>
  <c r="V23" i="42" s="1"/>
  <c r="AH23" i="42" a="1"/>
  <c r="AH23" i="42" s="1"/>
  <c r="AT23" i="42" a="1"/>
  <c r="AT23" i="42" s="1"/>
  <c r="BF23" i="42" a="1"/>
  <c r="BF23" i="42" s="1"/>
  <c r="H23" i="42" a="1"/>
  <c r="H23" i="42" s="1"/>
  <c r="T23" i="42" a="1"/>
  <c r="T23" i="42" s="1"/>
  <c r="AF23" i="42" a="1"/>
  <c r="AF23" i="42" s="1"/>
  <c r="AR23" i="42" a="1"/>
  <c r="AR23" i="42" s="1"/>
  <c r="BD23" i="42" a="1"/>
  <c r="BD23" i="42" s="1"/>
  <c r="D29" i="42" a="1"/>
  <c r="D29" i="42" s="1"/>
  <c r="P29" i="42" a="1"/>
  <c r="P29" i="42" s="1"/>
  <c r="AB29" i="42" a="1"/>
  <c r="AB29" i="42" s="1"/>
  <c r="AN29" i="42" a="1"/>
  <c r="AN29" i="42" s="1"/>
  <c r="AZ29" i="42" a="1"/>
  <c r="AZ29" i="42" s="1"/>
  <c r="BL29" i="42" a="1"/>
  <c r="BL29" i="42" s="1"/>
  <c r="J35" i="42" a="1"/>
  <c r="J35" i="42" s="1"/>
  <c r="V35" i="42" a="1"/>
  <c r="V35" i="42" s="1"/>
  <c r="AH35" i="42" a="1"/>
  <c r="AH35" i="42" s="1"/>
  <c r="AT35" i="42" a="1"/>
  <c r="AT35" i="42" s="1"/>
  <c r="BF35" i="42" a="1"/>
  <c r="BF35" i="42" s="1"/>
  <c r="H35" i="42" a="1"/>
  <c r="H35" i="42" s="1"/>
  <c r="T35" i="42" a="1"/>
  <c r="T35" i="42" s="1"/>
  <c r="AF35" i="42" a="1"/>
  <c r="AF35" i="42" s="1"/>
  <c r="AR35" i="42" a="1"/>
  <c r="AR35" i="42" s="1"/>
  <c r="BD35" i="42" a="1"/>
  <c r="BD35" i="42" s="1"/>
  <c r="D41" i="42" a="1"/>
  <c r="D41" i="42" s="1"/>
  <c r="P41" i="42" a="1"/>
  <c r="P41" i="42" s="1"/>
  <c r="AB41" i="42" a="1"/>
  <c r="AB41" i="42" s="1"/>
  <c r="AN41" i="42" a="1"/>
  <c r="AN41" i="42" s="1"/>
  <c r="AZ41" i="42" a="1"/>
  <c r="AZ41" i="42" s="1"/>
  <c r="BL41" i="42" a="1"/>
  <c r="BL41" i="42" s="1"/>
  <c r="P8" i="42" a="1"/>
  <c r="P8" i="42" s="1"/>
  <c r="AB8" i="42" a="1"/>
  <c r="AB8" i="42" s="1"/>
  <c r="AN8" i="42" a="1"/>
  <c r="AN8" i="42" s="1"/>
  <c r="AZ8" i="42" a="1"/>
  <c r="AZ8" i="42" s="1"/>
  <c r="BL8" i="42" a="1"/>
  <c r="BL8" i="42" s="1"/>
  <c r="H8" i="42" a="1"/>
  <c r="H8" i="42" s="1"/>
  <c r="T8" i="42" a="1"/>
  <c r="T8" i="42" s="1"/>
  <c r="AF8" i="42" a="1"/>
  <c r="AF8" i="42" s="1"/>
  <c r="AR8" i="42" a="1"/>
  <c r="AR8" i="42" s="1"/>
  <c r="BD8" i="42" a="1"/>
  <c r="BD8" i="42" s="1"/>
  <c r="D8" i="42" a="1"/>
  <c r="D8" i="42" s="1"/>
  <c r="H20" i="42" a="1"/>
  <c r="H20" i="42" s="1"/>
  <c r="H17" i="42" a="1"/>
  <c r="H17" i="42" s="1"/>
  <c r="N20" i="42" a="1"/>
  <c r="N20" i="42" s="1"/>
  <c r="L17" i="42" a="1"/>
  <c r="L17" i="42" s="1"/>
  <c r="J14" i="42" a="1"/>
  <c r="J14" i="42" s="1"/>
  <c r="H14" i="42" a="1"/>
  <c r="H14" i="42" s="1"/>
  <c r="D20" i="42" a="1"/>
  <c r="D20" i="42" s="1"/>
  <c r="P20" i="42" a="1"/>
  <c r="P20" i="42" s="1"/>
  <c r="N17" i="42" a="1"/>
  <c r="N17" i="42" s="1"/>
  <c r="L14" i="42" a="1"/>
  <c r="L14" i="42" s="1"/>
  <c r="L8" i="42" a="1"/>
  <c r="L8" i="42" s="1"/>
  <c r="J11" i="42" a="1"/>
  <c r="J11" i="42" s="1"/>
  <c r="H11" i="42" a="1"/>
  <c r="H11" i="42" s="1"/>
  <c r="D17" i="42" a="1"/>
  <c r="D17" i="42" s="1"/>
  <c r="P17" i="42" a="1"/>
  <c r="P17" i="42" s="1"/>
  <c r="AH18" i="1" l="1"/>
  <c r="AB18" i="1" a="1"/>
  <c r="AB18" i="1" s="1"/>
  <c r="BM40" i="40" l="1"/>
  <c r="BL40" i="40"/>
  <c r="BK40" i="40"/>
  <c r="BJ40" i="40"/>
  <c r="BI40" i="40"/>
  <c r="BH40" i="40"/>
  <c r="BG40" i="40"/>
  <c r="BF40" i="40"/>
  <c r="BE40" i="40"/>
  <c r="BD40" i="40"/>
  <c r="BC40" i="40"/>
  <c r="BB40" i="40"/>
  <c r="BA40" i="40"/>
  <c r="AZ40" i="40"/>
  <c r="AY40" i="40"/>
  <c r="AX40" i="40"/>
  <c r="AW40" i="40"/>
  <c r="AV40" i="40"/>
  <c r="AU40" i="40"/>
  <c r="AT40" i="40"/>
  <c r="AS40" i="40"/>
  <c r="AR40" i="40"/>
  <c r="AQ40" i="40"/>
  <c r="AP40" i="40"/>
  <c r="AO40" i="40"/>
  <c r="AN40" i="40"/>
  <c r="AM40" i="40"/>
  <c r="AL40" i="40"/>
  <c r="AK40" i="40"/>
  <c r="AJ40" i="40"/>
  <c r="AI40" i="40"/>
  <c r="AH40" i="40"/>
  <c r="AG40" i="40"/>
  <c r="AF40" i="40"/>
  <c r="AE40" i="40"/>
  <c r="AD40" i="40"/>
  <c r="AC40" i="40"/>
  <c r="AB40" i="40"/>
  <c r="AA40" i="40"/>
  <c r="Z40" i="40"/>
  <c r="Y40" i="40"/>
  <c r="X40" i="40"/>
  <c r="W40" i="40"/>
  <c r="V40" i="40"/>
  <c r="U40" i="40"/>
  <c r="T40" i="40"/>
  <c r="S40" i="40"/>
  <c r="R40" i="40"/>
  <c r="Q40" i="40"/>
  <c r="P40" i="40"/>
  <c r="O40" i="40"/>
  <c r="N40" i="40"/>
  <c r="M40" i="40"/>
  <c r="L40" i="40"/>
  <c r="K40" i="40"/>
  <c r="J40" i="40"/>
  <c r="I40" i="40"/>
  <c r="H40" i="40"/>
  <c r="G40" i="40"/>
  <c r="F40" i="40"/>
  <c r="E40" i="40"/>
  <c r="D40" i="40"/>
  <c r="BM39" i="40"/>
  <c r="BL39" i="40"/>
  <c r="BK39" i="40"/>
  <c r="BJ39" i="40"/>
  <c r="BJ41" i="40" s="1" a="1"/>
  <c r="BJ41" i="40" s="1"/>
  <c r="BI39" i="40"/>
  <c r="BH39" i="40"/>
  <c r="BG39" i="40"/>
  <c r="BF39" i="40"/>
  <c r="BF41" i="40" s="1" a="1"/>
  <c r="BF41" i="40" s="1"/>
  <c r="BE39" i="40"/>
  <c r="BD39" i="40"/>
  <c r="BC39" i="40"/>
  <c r="BB39" i="40"/>
  <c r="BA39" i="40"/>
  <c r="AZ39" i="40"/>
  <c r="AY39" i="40"/>
  <c r="AX39" i="40"/>
  <c r="AX41" i="40" s="1" a="1"/>
  <c r="AX41" i="40" s="1"/>
  <c r="AW39" i="40"/>
  <c r="AV39" i="40"/>
  <c r="AU39" i="40"/>
  <c r="AT39" i="40"/>
  <c r="AT41" i="40" s="1" a="1"/>
  <c r="AT41" i="40" s="1"/>
  <c r="AS39" i="40"/>
  <c r="AR39" i="40"/>
  <c r="AQ39" i="40"/>
  <c r="AP39" i="40"/>
  <c r="AO39" i="40"/>
  <c r="AN39" i="40"/>
  <c r="AM39" i="40"/>
  <c r="AL39" i="40"/>
  <c r="AK39" i="40"/>
  <c r="AJ39" i="40"/>
  <c r="AI39" i="40"/>
  <c r="AH39" i="40"/>
  <c r="AH41" i="40" s="1" a="1"/>
  <c r="AH41" i="40" s="1"/>
  <c r="AG39" i="40"/>
  <c r="AF39" i="40"/>
  <c r="AE39" i="40"/>
  <c r="AD39" i="40"/>
  <c r="AC39" i="40"/>
  <c r="AB39" i="40"/>
  <c r="AA39" i="40"/>
  <c r="Z39" i="40"/>
  <c r="Y39" i="40"/>
  <c r="X39" i="40"/>
  <c r="W39" i="40"/>
  <c r="V39" i="40"/>
  <c r="V41" i="40" s="1" a="1"/>
  <c r="V41" i="40" s="1"/>
  <c r="U39" i="40"/>
  <c r="T39" i="40"/>
  <c r="S39" i="40"/>
  <c r="R39" i="40"/>
  <c r="R41" i="40" s="1" a="1"/>
  <c r="R41" i="40" s="1"/>
  <c r="Q39" i="40"/>
  <c r="P39" i="40"/>
  <c r="O39" i="40"/>
  <c r="N39" i="40"/>
  <c r="M39" i="40"/>
  <c r="L39" i="40"/>
  <c r="K39" i="40"/>
  <c r="J39" i="40"/>
  <c r="I39" i="40"/>
  <c r="H39" i="40"/>
  <c r="H41" i="40" s="1" a="1"/>
  <c r="H41" i="40" s="1"/>
  <c r="G39" i="40"/>
  <c r="F39" i="40"/>
  <c r="F41" i="40" s="1" a="1"/>
  <c r="F41" i="40" s="1"/>
  <c r="E39" i="40"/>
  <c r="D39" i="40"/>
  <c r="BM37" i="40"/>
  <c r="BL37" i="40"/>
  <c r="BK37" i="40"/>
  <c r="BJ37" i="40"/>
  <c r="BI37" i="40"/>
  <c r="BH37" i="40"/>
  <c r="BG37" i="40"/>
  <c r="BF37" i="40"/>
  <c r="BE37" i="40"/>
  <c r="BD37" i="40"/>
  <c r="BC37" i="40"/>
  <c r="BB37" i="40"/>
  <c r="BA37" i="40"/>
  <c r="AZ37" i="40"/>
  <c r="AY37" i="40"/>
  <c r="AX37" i="40"/>
  <c r="AW37" i="40"/>
  <c r="AV37" i="40"/>
  <c r="AU37" i="40"/>
  <c r="AT37" i="40"/>
  <c r="AS37" i="40"/>
  <c r="AR37" i="40"/>
  <c r="AQ37" i="40"/>
  <c r="AP37" i="40"/>
  <c r="AO37" i="40"/>
  <c r="AN37" i="40"/>
  <c r="AM37" i="40"/>
  <c r="AL37" i="40"/>
  <c r="AK37" i="40"/>
  <c r="AJ37" i="40"/>
  <c r="AI37" i="40"/>
  <c r="AH37" i="40"/>
  <c r="AG37" i="40"/>
  <c r="AF37" i="40"/>
  <c r="AE37" i="40"/>
  <c r="AD37" i="40"/>
  <c r="AC37" i="40"/>
  <c r="AB37" i="40"/>
  <c r="AA37" i="40"/>
  <c r="Z37" i="40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BM36" i="40"/>
  <c r="BL36" i="40"/>
  <c r="BK36" i="40"/>
  <c r="BJ36" i="40"/>
  <c r="BJ38" i="40" s="1" a="1"/>
  <c r="BJ38" i="40" s="1"/>
  <c r="BI36" i="40"/>
  <c r="BH36" i="40"/>
  <c r="BG36" i="40"/>
  <c r="BF36" i="40"/>
  <c r="BF38" i="40" s="1" a="1"/>
  <c r="BF38" i="40" s="1"/>
  <c r="BE36" i="40"/>
  <c r="BD36" i="40"/>
  <c r="BC36" i="40"/>
  <c r="BB36" i="40"/>
  <c r="BA36" i="40"/>
  <c r="AZ36" i="40"/>
  <c r="AY36" i="40"/>
  <c r="AX36" i="40"/>
  <c r="AW36" i="40"/>
  <c r="AV36" i="40"/>
  <c r="AU36" i="40"/>
  <c r="AT36" i="40"/>
  <c r="AT38" i="40" s="1" a="1"/>
  <c r="AT38" i="40" s="1"/>
  <c r="AS36" i="40"/>
  <c r="AR36" i="40"/>
  <c r="AQ36" i="40"/>
  <c r="AP36" i="40"/>
  <c r="AP38" i="40" s="1" a="1"/>
  <c r="AP38" i="40" s="1"/>
  <c r="AO36" i="40"/>
  <c r="AN36" i="40"/>
  <c r="AM36" i="40"/>
  <c r="AL36" i="40"/>
  <c r="AK36" i="40"/>
  <c r="AJ36" i="40"/>
  <c r="AI36" i="40"/>
  <c r="AH36" i="40"/>
  <c r="AH38" i="40" s="1" a="1"/>
  <c r="AH38" i="40" s="1"/>
  <c r="AG36" i="40"/>
  <c r="AF36" i="40"/>
  <c r="AE36" i="40"/>
  <c r="AD36" i="40"/>
  <c r="AD38" i="40" s="1" a="1"/>
  <c r="AD38" i="40" s="1"/>
  <c r="AC36" i="40"/>
  <c r="AB36" i="40"/>
  <c r="AA36" i="40"/>
  <c r="Z36" i="40"/>
  <c r="Y36" i="40"/>
  <c r="X36" i="40"/>
  <c r="W36" i="40"/>
  <c r="V36" i="40"/>
  <c r="U36" i="40"/>
  <c r="T36" i="40"/>
  <c r="S36" i="40"/>
  <c r="R36" i="40"/>
  <c r="R38" i="40" s="1" a="1"/>
  <c r="R38" i="40" s="1"/>
  <c r="Q36" i="40"/>
  <c r="P36" i="40"/>
  <c r="O36" i="40"/>
  <c r="N36" i="40"/>
  <c r="N38" i="40" s="1" a="1"/>
  <c r="N38" i="40" s="1"/>
  <c r="M36" i="40"/>
  <c r="L36" i="40"/>
  <c r="K36" i="40"/>
  <c r="J36" i="40"/>
  <c r="I36" i="40"/>
  <c r="H36" i="40"/>
  <c r="G36" i="40"/>
  <c r="F36" i="40"/>
  <c r="F38" i="40" s="1" a="1"/>
  <c r="F38" i="40" s="1"/>
  <c r="E36" i="40"/>
  <c r="D36" i="40"/>
  <c r="BM34" i="40"/>
  <c r="BL34" i="40"/>
  <c r="BK34" i="40"/>
  <c r="BJ34" i="40"/>
  <c r="BI34" i="40"/>
  <c r="BH34" i="40"/>
  <c r="BG34" i="40"/>
  <c r="BF34" i="40"/>
  <c r="BE34" i="40"/>
  <c r="BD34" i="40"/>
  <c r="BC34" i="40"/>
  <c r="BB34" i="40"/>
  <c r="BA34" i="40"/>
  <c r="AZ34" i="40"/>
  <c r="AY34" i="40"/>
  <c r="AX34" i="40"/>
  <c r="AW34" i="40"/>
  <c r="AV34" i="40"/>
  <c r="AU34" i="40"/>
  <c r="AT34" i="40"/>
  <c r="AS34" i="40"/>
  <c r="AR34" i="40"/>
  <c r="AQ34" i="40"/>
  <c r="AP34" i="40"/>
  <c r="AO34" i="40"/>
  <c r="AN34" i="40"/>
  <c r="AM34" i="40"/>
  <c r="AL34" i="40"/>
  <c r="AK34" i="40"/>
  <c r="AJ34" i="40"/>
  <c r="AI34" i="40"/>
  <c r="AH34" i="40"/>
  <c r="AG34" i="40"/>
  <c r="AF34" i="40"/>
  <c r="AE34" i="40"/>
  <c r="AD34" i="40"/>
  <c r="AC34" i="40"/>
  <c r="AB34" i="40"/>
  <c r="AA34" i="40"/>
  <c r="Z34" i="40"/>
  <c r="Y34" i="40"/>
  <c r="X34" i="40"/>
  <c r="W34" i="40"/>
  <c r="V34" i="40"/>
  <c r="U34" i="40"/>
  <c r="T34" i="40"/>
  <c r="S34" i="40"/>
  <c r="R34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BM33" i="40"/>
  <c r="BL33" i="40"/>
  <c r="BK33" i="40"/>
  <c r="BJ33" i="40"/>
  <c r="BI33" i="40"/>
  <c r="BH33" i="40"/>
  <c r="BG33" i="40"/>
  <c r="BF33" i="40"/>
  <c r="BE33" i="40"/>
  <c r="BD33" i="40"/>
  <c r="BC33" i="40"/>
  <c r="BB33" i="40"/>
  <c r="BA33" i="40"/>
  <c r="AZ33" i="40"/>
  <c r="AY33" i="40"/>
  <c r="AX33" i="40"/>
  <c r="AW33" i="40"/>
  <c r="AV33" i="40"/>
  <c r="AU33" i="40"/>
  <c r="AT33" i="40"/>
  <c r="AS33" i="40"/>
  <c r="AR33" i="40"/>
  <c r="AQ33" i="40"/>
  <c r="AP33" i="40"/>
  <c r="AO33" i="40"/>
  <c r="AN33" i="40"/>
  <c r="AM33" i="40"/>
  <c r="AL33" i="40"/>
  <c r="AK33" i="40"/>
  <c r="AJ33" i="40"/>
  <c r="AI33" i="40"/>
  <c r="AH33" i="40"/>
  <c r="AG33" i="40"/>
  <c r="AF33" i="40"/>
  <c r="AE33" i="40"/>
  <c r="AD33" i="40"/>
  <c r="AC33" i="40"/>
  <c r="AB33" i="40"/>
  <c r="AA33" i="40"/>
  <c r="Z33" i="40"/>
  <c r="Y33" i="40"/>
  <c r="X33" i="40"/>
  <c r="W33" i="40"/>
  <c r="V33" i="40"/>
  <c r="U33" i="40"/>
  <c r="T33" i="40"/>
  <c r="S33" i="40"/>
  <c r="R33" i="40"/>
  <c r="Q33" i="40"/>
  <c r="P33" i="40"/>
  <c r="O33" i="40"/>
  <c r="N33" i="40"/>
  <c r="N35" i="40" s="1" a="1"/>
  <c r="N35" i="40" s="1"/>
  <c r="M33" i="40"/>
  <c r="L33" i="40"/>
  <c r="K33" i="40"/>
  <c r="J33" i="40"/>
  <c r="I33" i="40"/>
  <c r="H33" i="40"/>
  <c r="G33" i="40"/>
  <c r="F33" i="40"/>
  <c r="E33" i="40"/>
  <c r="D33" i="40"/>
  <c r="BM31" i="40"/>
  <c r="BL31" i="40"/>
  <c r="BK31" i="40"/>
  <c r="BJ31" i="40"/>
  <c r="BI31" i="40"/>
  <c r="BH31" i="40"/>
  <c r="BG31" i="40"/>
  <c r="BF31" i="40"/>
  <c r="BE31" i="40"/>
  <c r="BD31" i="40"/>
  <c r="BC31" i="40"/>
  <c r="BB31" i="40"/>
  <c r="BA31" i="40"/>
  <c r="AZ31" i="40"/>
  <c r="AY31" i="40"/>
  <c r="AX31" i="40"/>
  <c r="AW31" i="40"/>
  <c r="AV31" i="40"/>
  <c r="AU31" i="40"/>
  <c r="AT31" i="40"/>
  <c r="AS31" i="40"/>
  <c r="AR31" i="40"/>
  <c r="AQ31" i="40"/>
  <c r="AP31" i="40"/>
  <c r="AO31" i="40"/>
  <c r="AN31" i="40"/>
  <c r="AM31" i="40"/>
  <c r="AL31" i="40"/>
  <c r="AK31" i="40"/>
  <c r="AJ31" i="40"/>
  <c r="AI31" i="40"/>
  <c r="AH31" i="40"/>
  <c r="AG31" i="40"/>
  <c r="AF31" i="40"/>
  <c r="AE31" i="40"/>
  <c r="AD31" i="40"/>
  <c r="AC31" i="40"/>
  <c r="AB31" i="40"/>
  <c r="AA31" i="40"/>
  <c r="Z31" i="40"/>
  <c r="Y31" i="40"/>
  <c r="X31" i="40"/>
  <c r="W31" i="40"/>
  <c r="V31" i="40"/>
  <c r="U31" i="40"/>
  <c r="T31" i="40"/>
  <c r="S31" i="40"/>
  <c r="R31" i="40"/>
  <c r="Q31" i="40"/>
  <c r="P31" i="40"/>
  <c r="O31" i="40"/>
  <c r="N31" i="40"/>
  <c r="M31" i="40"/>
  <c r="L31" i="40"/>
  <c r="K31" i="40"/>
  <c r="J31" i="40"/>
  <c r="I31" i="40"/>
  <c r="H31" i="40"/>
  <c r="G31" i="40"/>
  <c r="F31" i="40"/>
  <c r="E31" i="40"/>
  <c r="D31" i="40"/>
  <c r="BM30" i="40"/>
  <c r="BL30" i="40"/>
  <c r="BK30" i="40"/>
  <c r="BJ30" i="40"/>
  <c r="BI30" i="40"/>
  <c r="BH30" i="40"/>
  <c r="BG30" i="40"/>
  <c r="BF30" i="40"/>
  <c r="BF32" i="40" s="1" a="1"/>
  <c r="BF32" i="40" s="1"/>
  <c r="BE30" i="40"/>
  <c r="BD30" i="40"/>
  <c r="BC30" i="40"/>
  <c r="BB30" i="40"/>
  <c r="BB32" i="40" s="1" a="1"/>
  <c r="BB32" i="40" s="1"/>
  <c r="BA30" i="40"/>
  <c r="AZ30" i="40"/>
  <c r="AY30" i="40"/>
  <c r="AX30" i="40"/>
  <c r="AW30" i="40"/>
  <c r="AV30" i="40"/>
  <c r="AU30" i="40"/>
  <c r="AT30" i="40"/>
  <c r="AS30" i="40"/>
  <c r="AR30" i="40"/>
  <c r="AQ30" i="40"/>
  <c r="AP30" i="40"/>
  <c r="AP32" i="40" s="1" a="1"/>
  <c r="AP32" i="40" s="1"/>
  <c r="AO30" i="40"/>
  <c r="AN30" i="40"/>
  <c r="AM30" i="40"/>
  <c r="AL30" i="40"/>
  <c r="AK30" i="40"/>
  <c r="AJ30" i="40"/>
  <c r="AI30" i="40"/>
  <c r="AH30" i="40"/>
  <c r="AG30" i="40"/>
  <c r="AF30" i="40"/>
  <c r="AE30" i="40"/>
  <c r="AD30" i="40"/>
  <c r="AD32" i="40" s="1" a="1"/>
  <c r="AD32" i="40" s="1"/>
  <c r="AC30" i="40"/>
  <c r="AB30" i="40"/>
  <c r="AA30" i="40"/>
  <c r="Z30" i="40"/>
  <c r="Z32" i="40" s="1" a="1"/>
  <c r="Z32" i="40" s="1"/>
  <c r="Y30" i="40"/>
  <c r="X30" i="40"/>
  <c r="W30" i="40"/>
  <c r="V30" i="40"/>
  <c r="U30" i="40"/>
  <c r="T30" i="40"/>
  <c r="S30" i="40"/>
  <c r="R30" i="40"/>
  <c r="Q30" i="40"/>
  <c r="P30" i="40"/>
  <c r="O30" i="40"/>
  <c r="N30" i="40"/>
  <c r="N32" i="40" s="1" a="1"/>
  <c r="N32" i="40" s="1"/>
  <c r="M30" i="40"/>
  <c r="L30" i="40"/>
  <c r="K30" i="40"/>
  <c r="J30" i="40"/>
  <c r="I30" i="40"/>
  <c r="H30" i="40"/>
  <c r="G30" i="40"/>
  <c r="F30" i="40"/>
  <c r="E30" i="40"/>
  <c r="D30" i="40"/>
  <c r="BM28" i="40"/>
  <c r="BL28" i="40"/>
  <c r="BK28" i="40"/>
  <c r="BJ28" i="40"/>
  <c r="BI28" i="40"/>
  <c r="BH28" i="40"/>
  <c r="BG28" i="40"/>
  <c r="BF28" i="40"/>
  <c r="BE28" i="40"/>
  <c r="BD28" i="40"/>
  <c r="BC28" i="40"/>
  <c r="BB28" i="40"/>
  <c r="BA28" i="40"/>
  <c r="AZ28" i="40"/>
  <c r="AY28" i="40"/>
  <c r="AX28" i="40"/>
  <c r="AW28" i="40"/>
  <c r="AV28" i="40"/>
  <c r="AU28" i="40"/>
  <c r="AT28" i="40"/>
  <c r="AS28" i="40"/>
  <c r="AR28" i="40"/>
  <c r="AQ28" i="40"/>
  <c r="AP28" i="40"/>
  <c r="AO28" i="40"/>
  <c r="AN28" i="40"/>
  <c r="AM28" i="40"/>
  <c r="AL28" i="40"/>
  <c r="AK28" i="40"/>
  <c r="AJ28" i="40"/>
  <c r="AI28" i="40"/>
  <c r="AH28" i="40"/>
  <c r="AG28" i="40"/>
  <c r="AF28" i="40"/>
  <c r="AE28" i="40"/>
  <c r="AD28" i="40"/>
  <c r="AC28" i="40"/>
  <c r="AB28" i="40"/>
  <c r="AA28" i="40"/>
  <c r="Z28" i="40"/>
  <c r="Y28" i="40"/>
  <c r="X28" i="40"/>
  <c r="W28" i="40"/>
  <c r="V28" i="40"/>
  <c r="U28" i="40"/>
  <c r="T28" i="40"/>
  <c r="S28" i="40"/>
  <c r="R28" i="40"/>
  <c r="Q28" i="40"/>
  <c r="P28" i="40"/>
  <c r="O28" i="40"/>
  <c r="N28" i="40"/>
  <c r="M28" i="40"/>
  <c r="L28" i="40"/>
  <c r="K28" i="40"/>
  <c r="J28" i="40"/>
  <c r="I28" i="40"/>
  <c r="H28" i="40"/>
  <c r="G28" i="40"/>
  <c r="F28" i="40"/>
  <c r="E28" i="40"/>
  <c r="D28" i="40"/>
  <c r="BM27" i="40"/>
  <c r="BL27" i="40"/>
  <c r="BK27" i="40"/>
  <c r="BJ27" i="40"/>
  <c r="BI27" i="40"/>
  <c r="BH27" i="40"/>
  <c r="BG27" i="40"/>
  <c r="BF27" i="40"/>
  <c r="BE27" i="40"/>
  <c r="BD27" i="40"/>
  <c r="BC27" i="40"/>
  <c r="BB27" i="40"/>
  <c r="BB29" i="40" s="1" a="1"/>
  <c r="BB29" i="40" s="1"/>
  <c r="BA27" i="40"/>
  <c r="AZ27" i="40"/>
  <c r="AY27" i="40"/>
  <c r="AX27" i="40"/>
  <c r="AX29" i="40" s="1" a="1"/>
  <c r="AX29" i="40" s="1"/>
  <c r="AW27" i="40"/>
  <c r="AV27" i="40"/>
  <c r="AU27" i="40"/>
  <c r="AT27" i="40"/>
  <c r="AS27" i="40"/>
  <c r="AR27" i="40"/>
  <c r="AQ27" i="40"/>
  <c r="AP27" i="40"/>
  <c r="AO27" i="40"/>
  <c r="AN27" i="40"/>
  <c r="AM27" i="40"/>
  <c r="AL27" i="40"/>
  <c r="AL29" i="40" s="1" a="1"/>
  <c r="AL29" i="40" s="1"/>
  <c r="AK27" i="40"/>
  <c r="AJ27" i="40"/>
  <c r="AI27" i="40"/>
  <c r="AH27" i="40"/>
  <c r="AG27" i="40"/>
  <c r="AF27" i="40"/>
  <c r="AE27" i="40"/>
  <c r="AD27" i="40"/>
  <c r="AC27" i="40"/>
  <c r="AB27" i="40"/>
  <c r="AA27" i="40"/>
  <c r="Z27" i="40"/>
  <c r="Z29" i="40" s="1" a="1"/>
  <c r="Z29" i="40" s="1"/>
  <c r="Y27" i="40"/>
  <c r="X27" i="40"/>
  <c r="W27" i="40"/>
  <c r="V27" i="40"/>
  <c r="V29" i="40" s="1" a="1"/>
  <c r="V29" i="40" s="1"/>
  <c r="U27" i="40"/>
  <c r="T27" i="40"/>
  <c r="S27" i="40"/>
  <c r="R27" i="40"/>
  <c r="Q27" i="40"/>
  <c r="P27" i="40"/>
  <c r="O27" i="40"/>
  <c r="N27" i="40"/>
  <c r="M27" i="40"/>
  <c r="L27" i="40"/>
  <c r="K27" i="40"/>
  <c r="J27" i="40"/>
  <c r="J29" i="40" s="1" a="1"/>
  <c r="J29" i="40" s="1"/>
  <c r="I27" i="40"/>
  <c r="H27" i="40"/>
  <c r="G27" i="40"/>
  <c r="F27" i="40"/>
  <c r="E27" i="40"/>
  <c r="D27" i="40"/>
  <c r="BM25" i="40"/>
  <c r="BL25" i="40"/>
  <c r="BK25" i="40"/>
  <c r="BJ25" i="40"/>
  <c r="BI25" i="40"/>
  <c r="BH25" i="40"/>
  <c r="BG25" i="40"/>
  <c r="BF25" i="40"/>
  <c r="BE25" i="40"/>
  <c r="BD25" i="40"/>
  <c r="BC25" i="40"/>
  <c r="BB25" i="40"/>
  <c r="BA25" i="40"/>
  <c r="AZ25" i="40"/>
  <c r="AY25" i="40"/>
  <c r="AX25" i="40"/>
  <c r="AW25" i="40"/>
  <c r="AV25" i="40"/>
  <c r="AU25" i="40"/>
  <c r="AT25" i="40"/>
  <c r="AS25" i="40"/>
  <c r="AR25" i="40"/>
  <c r="AQ25" i="40"/>
  <c r="AP25" i="40"/>
  <c r="AO25" i="40"/>
  <c r="AN25" i="40"/>
  <c r="AM25" i="40"/>
  <c r="AL25" i="40"/>
  <c r="AK25" i="40"/>
  <c r="AJ25" i="40"/>
  <c r="AI25" i="40"/>
  <c r="AH25" i="40"/>
  <c r="AG25" i="40"/>
  <c r="AF25" i="40"/>
  <c r="AE25" i="40"/>
  <c r="AD25" i="40"/>
  <c r="AC25" i="40"/>
  <c r="AB25" i="40"/>
  <c r="AA25" i="40"/>
  <c r="Z25" i="40"/>
  <c r="Y25" i="40"/>
  <c r="X25" i="40"/>
  <c r="W25" i="40"/>
  <c r="V25" i="40"/>
  <c r="U25" i="40"/>
  <c r="T25" i="40"/>
  <c r="S25" i="40"/>
  <c r="R25" i="40"/>
  <c r="Q25" i="40"/>
  <c r="P25" i="40"/>
  <c r="O25" i="40"/>
  <c r="N25" i="40"/>
  <c r="M25" i="40"/>
  <c r="L25" i="40"/>
  <c r="K25" i="40"/>
  <c r="J25" i="40"/>
  <c r="I25" i="40"/>
  <c r="H25" i="40"/>
  <c r="G25" i="40"/>
  <c r="F25" i="40"/>
  <c r="E25" i="40"/>
  <c r="D25" i="40"/>
  <c r="BM24" i="40"/>
  <c r="BL24" i="40"/>
  <c r="BK24" i="40"/>
  <c r="BJ24" i="40"/>
  <c r="BI24" i="40"/>
  <c r="BH24" i="40"/>
  <c r="BG24" i="40"/>
  <c r="BF24" i="40"/>
  <c r="BE24" i="40"/>
  <c r="BD24" i="40"/>
  <c r="BC24" i="40"/>
  <c r="BB24" i="40"/>
  <c r="BA24" i="40"/>
  <c r="AZ24" i="40"/>
  <c r="AY24" i="40"/>
  <c r="AX24" i="40"/>
  <c r="AW24" i="40"/>
  <c r="AV24" i="40"/>
  <c r="AU24" i="40"/>
  <c r="AT24" i="40"/>
  <c r="AS24" i="40"/>
  <c r="AR24" i="40"/>
  <c r="AQ24" i="40"/>
  <c r="AP24" i="40"/>
  <c r="AO24" i="40"/>
  <c r="AN24" i="40"/>
  <c r="AM24" i="40"/>
  <c r="AL24" i="40"/>
  <c r="AK24" i="40"/>
  <c r="AJ24" i="40"/>
  <c r="AI24" i="40"/>
  <c r="AH24" i="40"/>
  <c r="AG24" i="40"/>
  <c r="AF24" i="40"/>
  <c r="AE24" i="40"/>
  <c r="AD24" i="40"/>
  <c r="AC24" i="40"/>
  <c r="AB24" i="40"/>
  <c r="AA24" i="40"/>
  <c r="Z24" i="40"/>
  <c r="Y24" i="40"/>
  <c r="X24" i="40"/>
  <c r="W24" i="40"/>
  <c r="V24" i="40"/>
  <c r="U24" i="40"/>
  <c r="T24" i="40"/>
  <c r="S24" i="40"/>
  <c r="R24" i="40"/>
  <c r="Q24" i="40"/>
  <c r="P24" i="40"/>
  <c r="O24" i="40"/>
  <c r="N24" i="40"/>
  <c r="M24" i="40"/>
  <c r="L24" i="40"/>
  <c r="K24" i="40"/>
  <c r="J24" i="40"/>
  <c r="I24" i="40"/>
  <c r="H24" i="40"/>
  <c r="G24" i="40"/>
  <c r="F24" i="40"/>
  <c r="E24" i="40"/>
  <c r="D24" i="40"/>
  <c r="BM22" i="40"/>
  <c r="BL22" i="40"/>
  <c r="BK22" i="40"/>
  <c r="BJ22" i="40"/>
  <c r="BI22" i="40"/>
  <c r="BH22" i="40"/>
  <c r="BG22" i="40"/>
  <c r="BF22" i="40"/>
  <c r="BE22" i="40"/>
  <c r="BD22" i="40"/>
  <c r="BC22" i="40"/>
  <c r="BB22" i="40"/>
  <c r="BA22" i="40"/>
  <c r="AZ22" i="40"/>
  <c r="AY22" i="40"/>
  <c r="AX22" i="40"/>
  <c r="AW22" i="40"/>
  <c r="AV22" i="40"/>
  <c r="AU22" i="40"/>
  <c r="AT22" i="40"/>
  <c r="AS22" i="40"/>
  <c r="AR22" i="40"/>
  <c r="AQ22" i="40"/>
  <c r="AP22" i="40"/>
  <c r="AO22" i="40"/>
  <c r="AN22" i="40"/>
  <c r="AM22" i="40"/>
  <c r="AL22" i="40"/>
  <c r="AK22" i="40"/>
  <c r="AJ22" i="40"/>
  <c r="AI22" i="40"/>
  <c r="AH22" i="40"/>
  <c r="AG22" i="40"/>
  <c r="AF22" i="40"/>
  <c r="AE22" i="40"/>
  <c r="AD22" i="40"/>
  <c r="AC22" i="40"/>
  <c r="AB22" i="40"/>
  <c r="AA22" i="40"/>
  <c r="Z22" i="40"/>
  <c r="Y22" i="40"/>
  <c r="X22" i="40"/>
  <c r="W22" i="40"/>
  <c r="V22" i="40"/>
  <c r="U22" i="40"/>
  <c r="T22" i="40"/>
  <c r="S22" i="40"/>
  <c r="R22" i="40"/>
  <c r="Q22" i="40"/>
  <c r="P22" i="40"/>
  <c r="O22" i="40"/>
  <c r="N22" i="40"/>
  <c r="M22" i="40"/>
  <c r="L22" i="40"/>
  <c r="K22" i="40"/>
  <c r="J22" i="40"/>
  <c r="I22" i="40"/>
  <c r="H22" i="40"/>
  <c r="G22" i="40"/>
  <c r="F22" i="40"/>
  <c r="E22" i="40"/>
  <c r="D22" i="40"/>
  <c r="BM21" i="40"/>
  <c r="BL21" i="40"/>
  <c r="BK21" i="40"/>
  <c r="BJ21" i="40"/>
  <c r="BI21" i="40"/>
  <c r="BH21" i="40"/>
  <c r="BG21" i="40"/>
  <c r="BF21" i="40"/>
  <c r="BE21" i="40"/>
  <c r="BD21" i="40"/>
  <c r="BC21" i="40"/>
  <c r="BB21" i="40"/>
  <c r="BA21" i="40"/>
  <c r="AZ21" i="40"/>
  <c r="AY21" i="40"/>
  <c r="AX21" i="40"/>
  <c r="AW21" i="40"/>
  <c r="AV21" i="40"/>
  <c r="AU21" i="40"/>
  <c r="AT21" i="40"/>
  <c r="AS21" i="40"/>
  <c r="AR21" i="40"/>
  <c r="AQ21" i="40"/>
  <c r="AP21" i="40"/>
  <c r="AO21" i="40"/>
  <c r="AN21" i="40"/>
  <c r="AM21" i="40"/>
  <c r="AL21" i="40"/>
  <c r="AK21" i="40"/>
  <c r="AJ21" i="40"/>
  <c r="AI21" i="40"/>
  <c r="AH21" i="40"/>
  <c r="AG21" i="40"/>
  <c r="AF21" i="40"/>
  <c r="AE21" i="40"/>
  <c r="AD21" i="40"/>
  <c r="AC21" i="40"/>
  <c r="AB21" i="40"/>
  <c r="AA21" i="40"/>
  <c r="Z21" i="40"/>
  <c r="Y21" i="40"/>
  <c r="X21" i="40"/>
  <c r="W21" i="40"/>
  <c r="V21" i="40"/>
  <c r="U21" i="40"/>
  <c r="T21" i="40"/>
  <c r="S21" i="40"/>
  <c r="R21" i="40"/>
  <c r="Q21" i="40"/>
  <c r="P21" i="40"/>
  <c r="O21" i="40"/>
  <c r="N21" i="40"/>
  <c r="M21" i="40"/>
  <c r="L21" i="40"/>
  <c r="K21" i="40"/>
  <c r="J21" i="40"/>
  <c r="I21" i="40"/>
  <c r="H21" i="40"/>
  <c r="G21" i="40"/>
  <c r="F21" i="40"/>
  <c r="E21" i="40"/>
  <c r="D21" i="40"/>
  <c r="BM19" i="40"/>
  <c r="BL19" i="40"/>
  <c r="BK19" i="40"/>
  <c r="BJ19" i="40"/>
  <c r="BI19" i="40"/>
  <c r="BH19" i="40"/>
  <c r="BG19" i="40"/>
  <c r="BF19" i="40"/>
  <c r="BE19" i="40"/>
  <c r="BD19" i="40"/>
  <c r="BC19" i="40"/>
  <c r="BB19" i="40"/>
  <c r="BA19" i="40"/>
  <c r="AZ19" i="40"/>
  <c r="AY19" i="40"/>
  <c r="AX19" i="40"/>
  <c r="AW19" i="40"/>
  <c r="AV19" i="40"/>
  <c r="AU19" i="40"/>
  <c r="AT19" i="40"/>
  <c r="AS19" i="40"/>
  <c r="AR19" i="40"/>
  <c r="AQ19" i="40"/>
  <c r="AP19" i="40"/>
  <c r="AO19" i="40"/>
  <c r="AN19" i="40"/>
  <c r="AM19" i="40"/>
  <c r="AL19" i="40"/>
  <c r="AK19" i="40"/>
  <c r="AJ19" i="40"/>
  <c r="AI19" i="40"/>
  <c r="AH19" i="40"/>
  <c r="AG19" i="40"/>
  <c r="AF19" i="40"/>
  <c r="AE19" i="40"/>
  <c r="AD19" i="40"/>
  <c r="AC19" i="40"/>
  <c r="AB19" i="40"/>
  <c r="AA19" i="40"/>
  <c r="Z19" i="40"/>
  <c r="Y19" i="40"/>
  <c r="X19" i="40"/>
  <c r="W19" i="40"/>
  <c r="V19" i="40"/>
  <c r="U19" i="40"/>
  <c r="T19" i="40"/>
  <c r="S19" i="40"/>
  <c r="R19" i="40"/>
  <c r="Q19" i="40"/>
  <c r="P19" i="40"/>
  <c r="O19" i="40"/>
  <c r="N19" i="40"/>
  <c r="M19" i="40"/>
  <c r="L19" i="40"/>
  <c r="K19" i="40"/>
  <c r="J19" i="40"/>
  <c r="I19" i="40"/>
  <c r="H19" i="40"/>
  <c r="G19" i="40"/>
  <c r="F19" i="40"/>
  <c r="E19" i="40"/>
  <c r="D19" i="40"/>
  <c r="BM18" i="40"/>
  <c r="BL18" i="40"/>
  <c r="BK18" i="40"/>
  <c r="BJ18" i="40"/>
  <c r="BI18" i="40"/>
  <c r="BH18" i="40"/>
  <c r="BG18" i="40"/>
  <c r="BF18" i="40"/>
  <c r="BE18" i="40"/>
  <c r="BD18" i="40"/>
  <c r="BC18" i="40"/>
  <c r="BB18" i="40"/>
  <c r="BA18" i="40"/>
  <c r="AZ18" i="40"/>
  <c r="AY18" i="40"/>
  <c r="AX18" i="40"/>
  <c r="AW18" i="40"/>
  <c r="AV18" i="40"/>
  <c r="AU18" i="40"/>
  <c r="AT18" i="40"/>
  <c r="AS18" i="40"/>
  <c r="AR18" i="40"/>
  <c r="AQ18" i="40"/>
  <c r="AP18" i="40"/>
  <c r="AO18" i="40"/>
  <c r="AN18" i="40"/>
  <c r="AM18" i="40"/>
  <c r="AL18" i="40"/>
  <c r="AK18" i="40"/>
  <c r="AJ18" i="40"/>
  <c r="AI18" i="40"/>
  <c r="AH18" i="40"/>
  <c r="AG18" i="40"/>
  <c r="AF18" i="40"/>
  <c r="AE18" i="40"/>
  <c r="AD18" i="40"/>
  <c r="AC18" i="40"/>
  <c r="AB18" i="40"/>
  <c r="AA18" i="40"/>
  <c r="Z18" i="40"/>
  <c r="Y18" i="40"/>
  <c r="X18" i="40"/>
  <c r="W18" i="40"/>
  <c r="V18" i="40"/>
  <c r="U18" i="40"/>
  <c r="T18" i="40"/>
  <c r="S18" i="40"/>
  <c r="R18" i="40"/>
  <c r="Q18" i="40"/>
  <c r="P18" i="40"/>
  <c r="O18" i="40"/>
  <c r="N18" i="40"/>
  <c r="M18" i="40"/>
  <c r="L18" i="40"/>
  <c r="K18" i="40"/>
  <c r="J18" i="40"/>
  <c r="I18" i="40"/>
  <c r="H18" i="40"/>
  <c r="G18" i="40"/>
  <c r="F18" i="40"/>
  <c r="E18" i="40"/>
  <c r="D18" i="40"/>
  <c r="BM16" i="40"/>
  <c r="BL16" i="40"/>
  <c r="BK16" i="40"/>
  <c r="BJ16" i="40"/>
  <c r="BI16" i="40"/>
  <c r="BH16" i="40"/>
  <c r="BG16" i="40"/>
  <c r="BF16" i="40"/>
  <c r="BE16" i="40"/>
  <c r="BD16" i="40"/>
  <c r="BC16" i="40"/>
  <c r="BB16" i="40"/>
  <c r="BA16" i="40"/>
  <c r="AZ16" i="40"/>
  <c r="AY16" i="40"/>
  <c r="AX16" i="40"/>
  <c r="AW16" i="40"/>
  <c r="AV16" i="40"/>
  <c r="AU16" i="40"/>
  <c r="AT16" i="40"/>
  <c r="AS16" i="40"/>
  <c r="AR16" i="40"/>
  <c r="AQ16" i="40"/>
  <c r="AP16" i="40"/>
  <c r="AO16" i="40"/>
  <c r="AN16" i="40"/>
  <c r="AM16" i="40"/>
  <c r="AL16" i="40"/>
  <c r="AK16" i="40"/>
  <c r="AJ16" i="40"/>
  <c r="AI16" i="40"/>
  <c r="AH16" i="40"/>
  <c r="AG16" i="40"/>
  <c r="AF16" i="40"/>
  <c r="AE16" i="40"/>
  <c r="AD16" i="40"/>
  <c r="AC16" i="40"/>
  <c r="AB16" i="40"/>
  <c r="AA16" i="40"/>
  <c r="Z16" i="40"/>
  <c r="Y16" i="40"/>
  <c r="X16" i="40"/>
  <c r="W16" i="40"/>
  <c r="V16" i="40"/>
  <c r="U16" i="40"/>
  <c r="T16" i="40"/>
  <c r="S16" i="40"/>
  <c r="R16" i="40"/>
  <c r="Q16" i="40"/>
  <c r="P16" i="40"/>
  <c r="O16" i="40"/>
  <c r="N16" i="40"/>
  <c r="M16" i="40"/>
  <c r="L16" i="40"/>
  <c r="K16" i="40"/>
  <c r="J16" i="40"/>
  <c r="I16" i="40"/>
  <c r="H16" i="40"/>
  <c r="G16" i="40"/>
  <c r="F16" i="40"/>
  <c r="E16" i="40"/>
  <c r="D16" i="40"/>
  <c r="BM15" i="40"/>
  <c r="BL15" i="40"/>
  <c r="BK15" i="40"/>
  <c r="BJ15" i="40"/>
  <c r="BI15" i="40"/>
  <c r="BH15" i="40"/>
  <c r="BG15" i="40"/>
  <c r="BF15" i="40"/>
  <c r="BE15" i="40"/>
  <c r="BD15" i="40"/>
  <c r="BC15" i="40"/>
  <c r="BB15" i="40"/>
  <c r="BA15" i="40"/>
  <c r="AZ15" i="40"/>
  <c r="AY15" i="40"/>
  <c r="AX15" i="40"/>
  <c r="AW15" i="40"/>
  <c r="AV15" i="40"/>
  <c r="AU15" i="40"/>
  <c r="AT15" i="40"/>
  <c r="AS15" i="40"/>
  <c r="AR15" i="40"/>
  <c r="AQ15" i="40"/>
  <c r="AP15" i="40"/>
  <c r="AO15" i="40"/>
  <c r="AN15" i="40"/>
  <c r="AM15" i="40"/>
  <c r="AL15" i="40"/>
  <c r="AK15" i="40"/>
  <c r="AJ15" i="40"/>
  <c r="AI15" i="40"/>
  <c r="AH15" i="40"/>
  <c r="AG15" i="40"/>
  <c r="AF15" i="40"/>
  <c r="AE15" i="40"/>
  <c r="AD15" i="40"/>
  <c r="AC15" i="40"/>
  <c r="AB15" i="40"/>
  <c r="AA15" i="40"/>
  <c r="Z15" i="40"/>
  <c r="Y15" i="40"/>
  <c r="X15" i="40"/>
  <c r="W15" i="40"/>
  <c r="V15" i="40"/>
  <c r="U15" i="40"/>
  <c r="T15" i="40"/>
  <c r="S15" i="40"/>
  <c r="R15" i="40"/>
  <c r="Q15" i="40"/>
  <c r="P15" i="40"/>
  <c r="O15" i="40"/>
  <c r="N15" i="40"/>
  <c r="M15" i="40"/>
  <c r="L15" i="40"/>
  <c r="K15" i="40"/>
  <c r="J15" i="40"/>
  <c r="I15" i="40"/>
  <c r="H15" i="40"/>
  <c r="G15" i="40"/>
  <c r="F15" i="40"/>
  <c r="E15" i="40"/>
  <c r="D15" i="40"/>
  <c r="BM13" i="40"/>
  <c r="BL13" i="40"/>
  <c r="BK13" i="40"/>
  <c r="BJ13" i="40"/>
  <c r="BI13" i="40"/>
  <c r="BH13" i="40"/>
  <c r="BG13" i="40"/>
  <c r="BF13" i="40"/>
  <c r="BE13" i="40"/>
  <c r="BD13" i="40"/>
  <c r="BC13" i="40"/>
  <c r="BB13" i="40"/>
  <c r="BA13" i="40"/>
  <c r="AZ13" i="40"/>
  <c r="AY13" i="40"/>
  <c r="AX13" i="40"/>
  <c r="AW13" i="40"/>
  <c r="AV13" i="40"/>
  <c r="AU13" i="40"/>
  <c r="AT13" i="40"/>
  <c r="AS13" i="40"/>
  <c r="AR13" i="40"/>
  <c r="AQ13" i="40"/>
  <c r="AP13" i="40"/>
  <c r="AO13" i="40"/>
  <c r="AN13" i="40"/>
  <c r="AM13" i="40"/>
  <c r="AL13" i="40"/>
  <c r="AK13" i="40"/>
  <c r="AJ13" i="40"/>
  <c r="AI13" i="40"/>
  <c r="AH13" i="40"/>
  <c r="AG13" i="40"/>
  <c r="AF13" i="40"/>
  <c r="AE13" i="40"/>
  <c r="AD13" i="40"/>
  <c r="AC13" i="40"/>
  <c r="AB13" i="40"/>
  <c r="AA13" i="40"/>
  <c r="Z13" i="40"/>
  <c r="Y13" i="40"/>
  <c r="X13" i="40"/>
  <c r="W13" i="40"/>
  <c r="V13" i="40"/>
  <c r="U13" i="40"/>
  <c r="T13" i="40"/>
  <c r="S13" i="40"/>
  <c r="R13" i="40"/>
  <c r="Q13" i="40"/>
  <c r="P13" i="40"/>
  <c r="O13" i="40"/>
  <c r="N13" i="40"/>
  <c r="M13" i="40"/>
  <c r="L13" i="40"/>
  <c r="K13" i="40"/>
  <c r="J13" i="40"/>
  <c r="I13" i="40"/>
  <c r="H13" i="40"/>
  <c r="G13" i="40"/>
  <c r="F13" i="40"/>
  <c r="E13" i="40"/>
  <c r="D13" i="40"/>
  <c r="BM12" i="40"/>
  <c r="BL12" i="40"/>
  <c r="BK12" i="40"/>
  <c r="BJ12" i="40"/>
  <c r="BI12" i="40"/>
  <c r="BH12" i="40"/>
  <c r="BG12" i="40"/>
  <c r="BF12" i="40"/>
  <c r="BE12" i="40"/>
  <c r="BD12" i="40"/>
  <c r="BC12" i="40"/>
  <c r="BB12" i="40"/>
  <c r="BA12" i="40"/>
  <c r="AZ12" i="40"/>
  <c r="AY12" i="40"/>
  <c r="AX12" i="40"/>
  <c r="AW12" i="40"/>
  <c r="AV12" i="40"/>
  <c r="AU12" i="40"/>
  <c r="AT12" i="40"/>
  <c r="AS12" i="40"/>
  <c r="AR12" i="40"/>
  <c r="AQ12" i="40"/>
  <c r="AP12" i="40"/>
  <c r="AO12" i="40"/>
  <c r="AN12" i="40"/>
  <c r="AM12" i="40"/>
  <c r="AL12" i="40"/>
  <c r="AK12" i="40"/>
  <c r="AJ12" i="40"/>
  <c r="AI12" i="40"/>
  <c r="AH12" i="40"/>
  <c r="AG12" i="40"/>
  <c r="AF12" i="40"/>
  <c r="AE12" i="40"/>
  <c r="AD12" i="40"/>
  <c r="AC12" i="40"/>
  <c r="AB12" i="40"/>
  <c r="AA12" i="40"/>
  <c r="Z12" i="40"/>
  <c r="Y12" i="40"/>
  <c r="X12" i="40"/>
  <c r="W12" i="40"/>
  <c r="V12" i="40"/>
  <c r="U12" i="40"/>
  <c r="T12" i="40"/>
  <c r="S12" i="40"/>
  <c r="R12" i="40"/>
  <c r="Q12" i="40"/>
  <c r="P12" i="40"/>
  <c r="O12" i="40"/>
  <c r="N12" i="40"/>
  <c r="M12" i="40"/>
  <c r="L12" i="40"/>
  <c r="K12" i="40"/>
  <c r="J12" i="40"/>
  <c r="I12" i="40"/>
  <c r="H12" i="40"/>
  <c r="G12" i="40"/>
  <c r="F12" i="40"/>
  <c r="E12" i="40"/>
  <c r="D12" i="40"/>
  <c r="BM10" i="40"/>
  <c r="BL10" i="40"/>
  <c r="BK10" i="40"/>
  <c r="BJ10" i="40"/>
  <c r="BI10" i="40"/>
  <c r="BH10" i="40"/>
  <c r="BG10" i="40"/>
  <c r="BF10" i="40"/>
  <c r="BE10" i="40"/>
  <c r="BD10" i="40"/>
  <c r="BC10" i="40"/>
  <c r="BB10" i="40"/>
  <c r="BA10" i="40"/>
  <c r="AZ10" i="40"/>
  <c r="AY10" i="40"/>
  <c r="AX10" i="40"/>
  <c r="AW10" i="40"/>
  <c r="AV10" i="40"/>
  <c r="AU10" i="40"/>
  <c r="AT10" i="40"/>
  <c r="AS10" i="40"/>
  <c r="AR10" i="40"/>
  <c r="AQ10" i="40"/>
  <c r="AP10" i="40"/>
  <c r="AO10" i="40"/>
  <c r="AN10" i="40"/>
  <c r="AM10" i="40"/>
  <c r="AL10" i="40"/>
  <c r="AK10" i="40"/>
  <c r="AJ10" i="40"/>
  <c r="AI10" i="40"/>
  <c r="AH10" i="40"/>
  <c r="AG10" i="40"/>
  <c r="AF10" i="40"/>
  <c r="AE10" i="40"/>
  <c r="AD10" i="40"/>
  <c r="AC10" i="40"/>
  <c r="AB10" i="40"/>
  <c r="AA10" i="40"/>
  <c r="Z10" i="40"/>
  <c r="Y10" i="40"/>
  <c r="X10" i="40"/>
  <c r="W10" i="40"/>
  <c r="V10" i="40"/>
  <c r="U10" i="40"/>
  <c r="T10" i="40"/>
  <c r="S10" i="40"/>
  <c r="R10" i="40"/>
  <c r="Q10" i="40"/>
  <c r="P10" i="40"/>
  <c r="O10" i="40"/>
  <c r="N10" i="40"/>
  <c r="M10" i="40"/>
  <c r="L10" i="40"/>
  <c r="K10" i="40"/>
  <c r="J10" i="40"/>
  <c r="I10" i="40"/>
  <c r="H10" i="40"/>
  <c r="G10" i="40"/>
  <c r="F10" i="40"/>
  <c r="E10" i="40"/>
  <c r="D10" i="40"/>
  <c r="BM9" i="40"/>
  <c r="BL9" i="40"/>
  <c r="BK9" i="40"/>
  <c r="BJ9" i="40"/>
  <c r="BI9" i="40"/>
  <c r="BH9" i="40"/>
  <c r="BG9" i="40"/>
  <c r="BF9" i="40"/>
  <c r="BE9" i="40"/>
  <c r="BD9" i="40"/>
  <c r="BC9" i="40"/>
  <c r="BB9" i="40"/>
  <c r="BA9" i="40"/>
  <c r="AZ9" i="40"/>
  <c r="AY9" i="40"/>
  <c r="AX9" i="40"/>
  <c r="AW9" i="40"/>
  <c r="AV9" i="40"/>
  <c r="AU9" i="40"/>
  <c r="AT9" i="40"/>
  <c r="AS9" i="40"/>
  <c r="AR9" i="40"/>
  <c r="AQ9" i="40"/>
  <c r="AP9" i="40"/>
  <c r="AO9" i="40"/>
  <c r="AN9" i="40"/>
  <c r="AM9" i="40"/>
  <c r="AL9" i="40"/>
  <c r="AK9" i="40"/>
  <c r="AJ9" i="40"/>
  <c r="AI9" i="40"/>
  <c r="AH9" i="40"/>
  <c r="AG9" i="40"/>
  <c r="AF9" i="40"/>
  <c r="AE9" i="40"/>
  <c r="AD9" i="40"/>
  <c r="AC9" i="40"/>
  <c r="AB9" i="40"/>
  <c r="AA9" i="40"/>
  <c r="Z9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BM7" i="40"/>
  <c r="BL7" i="40"/>
  <c r="BK7" i="40"/>
  <c r="BJ7" i="40"/>
  <c r="BI7" i="40"/>
  <c r="BH7" i="40"/>
  <c r="BG7" i="40"/>
  <c r="BF7" i="40"/>
  <c r="BE7" i="40"/>
  <c r="BD7" i="40"/>
  <c r="BC7" i="40"/>
  <c r="BB7" i="40"/>
  <c r="BA7" i="40"/>
  <c r="AZ7" i="40"/>
  <c r="AY7" i="40"/>
  <c r="AX7" i="40"/>
  <c r="AW7" i="40"/>
  <c r="AV7" i="40"/>
  <c r="AU7" i="40"/>
  <c r="AT7" i="40"/>
  <c r="AS7" i="40"/>
  <c r="AR7" i="40"/>
  <c r="AQ7" i="40"/>
  <c r="AP7" i="40"/>
  <c r="AO7" i="40"/>
  <c r="AN7" i="40"/>
  <c r="AM7" i="40"/>
  <c r="AL7" i="40"/>
  <c r="AK7" i="40"/>
  <c r="AJ7" i="40"/>
  <c r="AI7" i="40"/>
  <c r="AH7" i="40"/>
  <c r="AG7" i="40"/>
  <c r="AF7" i="40"/>
  <c r="AE7" i="40"/>
  <c r="AD7" i="40"/>
  <c r="AC7" i="40"/>
  <c r="AB7" i="40"/>
  <c r="AA7" i="40"/>
  <c r="Z7" i="40"/>
  <c r="Y7" i="40"/>
  <c r="X7" i="40"/>
  <c r="W7" i="40"/>
  <c r="V7" i="40"/>
  <c r="U7" i="40"/>
  <c r="T7" i="40"/>
  <c r="S7" i="40"/>
  <c r="R7" i="40"/>
  <c r="BM6" i="40"/>
  <c r="BL6" i="40"/>
  <c r="BK6" i="40"/>
  <c r="BJ6" i="40"/>
  <c r="BI6" i="40"/>
  <c r="BH6" i="40"/>
  <c r="BG6" i="40"/>
  <c r="BF6" i="40"/>
  <c r="BE6" i="40"/>
  <c r="BD6" i="40"/>
  <c r="BC6" i="40"/>
  <c r="BB6" i="40"/>
  <c r="BA6" i="40"/>
  <c r="AZ6" i="40"/>
  <c r="AY6" i="40"/>
  <c r="AX6" i="40"/>
  <c r="AW6" i="40"/>
  <c r="AV6" i="40"/>
  <c r="AU6" i="40"/>
  <c r="AT6" i="40"/>
  <c r="AS6" i="40"/>
  <c r="AR6" i="40"/>
  <c r="AQ6" i="40"/>
  <c r="AP6" i="40"/>
  <c r="AO6" i="40"/>
  <c r="AN6" i="40"/>
  <c r="AN8" i="40" s="1" a="1"/>
  <c r="AN8" i="40" s="1"/>
  <c r="AM6" i="40"/>
  <c r="AL6" i="40"/>
  <c r="AK6" i="40"/>
  <c r="AJ6" i="40"/>
  <c r="AI6" i="40"/>
  <c r="AH6" i="40"/>
  <c r="AG6" i="40"/>
  <c r="AF6" i="40"/>
  <c r="AE6" i="40"/>
  <c r="AD6" i="40"/>
  <c r="AC6" i="40"/>
  <c r="AB6" i="40"/>
  <c r="AA6" i="40"/>
  <c r="Z6" i="40"/>
  <c r="Y6" i="40"/>
  <c r="X6" i="40"/>
  <c r="W6" i="40"/>
  <c r="V6" i="40"/>
  <c r="U6" i="40"/>
  <c r="T6" i="40"/>
  <c r="S6" i="40"/>
  <c r="R6" i="40"/>
  <c r="Q7" i="40"/>
  <c r="P7" i="40"/>
  <c r="O7" i="40"/>
  <c r="N7" i="40"/>
  <c r="M7" i="40"/>
  <c r="L7" i="40"/>
  <c r="K7" i="40"/>
  <c r="J7" i="40"/>
  <c r="I7" i="40"/>
  <c r="H7" i="40"/>
  <c r="G7" i="40"/>
  <c r="F7" i="40"/>
  <c r="Q6" i="40"/>
  <c r="P6" i="40"/>
  <c r="O6" i="40"/>
  <c r="N6" i="40"/>
  <c r="M6" i="40"/>
  <c r="L6" i="40"/>
  <c r="K6" i="40"/>
  <c r="J6" i="40"/>
  <c r="I6" i="40"/>
  <c r="H6" i="40"/>
  <c r="G6" i="40"/>
  <c r="F6" i="40"/>
  <c r="J41" i="40" l="1" a="1"/>
  <c r="J41" i="40" s="1"/>
  <c r="Z41" i="40" a="1"/>
  <c r="Z41" i="40" s="1"/>
  <c r="N41" i="40" a="1"/>
  <c r="N41" i="40" s="1"/>
  <c r="AP41" i="40" a="1"/>
  <c r="AP41" i="40" s="1"/>
  <c r="AL41" i="40" a="1"/>
  <c r="AL41" i="40" s="1"/>
  <c r="BB41" i="40" a="1"/>
  <c r="BB41" i="40" s="1"/>
  <c r="J38" i="40" a="1"/>
  <c r="J38" i="40" s="1"/>
  <c r="Z38" i="40" a="1"/>
  <c r="Z38" i="40" s="1"/>
  <c r="BB38" i="40" a="1"/>
  <c r="BB38" i="40" s="1"/>
  <c r="V38" i="40" a="1"/>
  <c r="V38" i="40" s="1"/>
  <c r="AX38" i="40" a="1"/>
  <c r="AX38" i="40" s="1"/>
  <c r="AL38" i="40" a="1"/>
  <c r="AL38" i="40" s="1"/>
  <c r="BJ35" i="40" a="1"/>
  <c r="BJ35" i="40" s="1"/>
  <c r="AX35" i="40" a="1"/>
  <c r="AX35" i="40" s="1"/>
  <c r="AL35" i="40" a="1"/>
  <c r="AL35" i="40" s="1"/>
  <c r="AT32" i="40" a="1"/>
  <c r="AT32" i="40" s="1"/>
  <c r="F32" i="40" a="1"/>
  <c r="F32" i="40" s="1"/>
  <c r="AH32" i="40" a="1"/>
  <c r="AH32" i="40" s="1"/>
  <c r="BJ32" i="40" a="1"/>
  <c r="BJ32" i="40" s="1"/>
  <c r="V32" i="40" a="1"/>
  <c r="V32" i="40" s="1"/>
  <c r="AX32" i="40" a="1"/>
  <c r="AX32" i="40" s="1"/>
  <c r="J32" i="40" a="1"/>
  <c r="J32" i="40" s="1"/>
  <c r="AL32" i="40" a="1"/>
  <c r="AL32" i="40" s="1"/>
  <c r="R32" i="40" a="1"/>
  <c r="R32" i="40" s="1"/>
  <c r="AP29" i="40" a="1"/>
  <c r="AP29" i="40" s="1"/>
  <c r="AD29" i="40" a="1"/>
  <c r="AD29" i="40" s="1"/>
  <c r="BF29" i="40" a="1"/>
  <c r="BF29" i="40" s="1"/>
  <c r="R29" i="40" a="1"/>
  <c r="R29" i="40" s="1"/>
  <c r="AT29" i="40" a="1"/>
  <c r="AT29" i="40" s="1"/>
  <c r="N29" i="40" a="1"/>
  <c r="N29" i="40" s="1"/>
  <c r="F29" i="40" a="1"/>
  <c r="F29" i="40" s="1"/>
  <c r="AH29" i="40" a="1"/>
  <c r="AH29" i="40" s="1"/>
  <c r="BJ29" i="40" a="1"/>
  <c r="BJ29" i="40" s="1"/>
  <c r="F8" i="40" a="1"/>
  <c r="F8" i="40" s="1"/>
  <c r="BD8" i="40" a="1"/>
  <c r="BD8" i="40" s="1"/>
  <c r="AD8" i="40" a="1"/>
  <c r="AD8" i="40" s="1"/>
  <c r="AR8" i="40" a="1"/>
  <c r="AR8" i="40" s="1"/>
  <c r="P8" i="40" a="1"/>
  <c r="P8" i="40" s="1"/>
  <c r="T8" i="40" a="1"/>
  <c r="T8" i="40" s="1"/>
  <c r="BH41" i="40" a="1"/>
  <c r="BH41" i="40" s="1"/>
  <c r="BD41" i="40" a="1"/>
  <c r="BD41" i="40" s="1"/>
  <c r="AF41" i="40" a="1"/>
  <c r="AF41" i="40" s="1"/>
  <c r="AD41" i="40" a="1"/>
  <c r="AD41" i="40" s="1"/>
  <c r="AV41" i="40" a="1"/>
  <c r="AV41" i="40" s="1"/>
  <c r="AR41" i="40" a="1"/>
  <c r="AR41" i="40" s="1"/>
  <c r="AJ41" i="40" a="1"/>
  <c r="AJ41" i="40" s="1"/>
  <c r="T41" i="40" a="1"/>
  <c r="T41" i="40" s="1"/>
  <c r="H32" i="40" a="1"/>
  <c r="H32" i="40" s="1"/>
  <c r="L32" i="40" a="1"/>
  <c r="L32" i="40" s="1"/>
  <c r="T32" i="40" a="1"/>
  <c r="T32" i="40" s="1"/>
  <c r="X32" i="40" a="1"/>
  <c r="X32" i="40" s="1"/>
  <c r="AF32" i="40" a="1"/>
  <c r="AF32" i="40" s="1"/>
  <c r="AJ32" i="40" a="1"/>
  <c r="AJ32" i="40" s="1"/>
  <c r="AR32" i="40" a="1"/>
  <c r="AR32" i="40" s="1"/>
  <c r="AV32" i="40" a="1"/>
  <c r="AV32" i="40" s="1"/>
  <c r="BD32" i="40" a="1"/>
  <c r="BD32" i="40" s="1"/>
  <c r="BH32" i="40" a="1"/>
  <c r="BH32" i="40" s="1"/>
  <c r="BL32" i="40" a="1"/>
  <c r="BL32" i="40" s="1"/>
  <c r="H38" i="40" a="1"/>
  <c r="H38" i="40" s="1"/>
  <c r="L38" i="40" a="1"/>
  <c r="L38" i="40" s="1"/>
  <c r="T38" i="40" a="1"/>
  <c r="T38" i="40" s="1"/>
  <c r="X38" i="40" a="1"/>
  <c r="X38" i="40" s="1"/>
  <c r="AF38" i="40" a="1"/>
  <c r="AF38" i="40" s="1"/>
  <c r="AJ38" i="40" a="1"/>
  <c r="AJ38" i="40" s="1"/>
  <c r="AR38" i="40" a="1"/>
  <c r="AR38" i="40" s="1"/>
  <c r="AV38" i="40" a="1"/>
  <c r="AV38" i="40" s="1"/>
  <c r="BD38" i="40" a="1"/>
  <c r="BD38" i="40" s="1"/>
  <c r="BH38" i="40" a="1"/>
  <c r="BH38" i="40" s="1"/>
  <c r="Z35" i="40" a="1"/>
  <c r="Z35" i="40" s="1"/>
  <c r="X41" i="40" a="1"/>
  <c r="X41" i="40" s="1"/>
  <c r="L41" i="40" a="1"/>
  <c r="L41" i="40" s="1"/>
  <c r="D41" i="40" a="1"/>
  <c r="D41" i="40" s="1"/>
  <c r="P41" i="40" a="1"/>
  <c r="P41" i="40" s="1"/>
  <c r="AB41" i="40" a="1"/>
  <c r="AB41" i="40" s="1"/>
  <c r="AN41" i="40" a="1"/>
  <c r="AN41" i="40" s="1"/>
  <c r="AZ41" i="40" a="1"/>
  <c r="AZ41" i="40" s="1"/>
  <c r="BL41" i="40" a="1"/>
  <c r="BL41" i="40" s="1"/>
  <c r="D38" i="40" a="1"/>
  <c r="D38" i="40" s="1"/>
  <c r="P38" i="40" a="1"/>
  <c r="P38" i="40" s="1"/>
  <c r="AB38" i="40" a="1"/>
  <c r="AB38" i="40" s="1"/>
  <c r="AN38" i="40" a="1"/>
  <c r="AN38" i="40" s="1"/>
  <c r="AZ38" i="40" a="1"/>
  <c r="AZ38" i="40" s="1"/>
  <c r="BL38" i="40" a="1"/>
  <c r="BL38" i="40" s="1"/>
  <c r="F35" i="40" a="1"/>
  <c r="F35" i="40" s="1"/>
  <c r="R35" i="40" a="1"/>
  <c r="R35" i="40" s="1"/>
  <c r="AH35" i="40" a="1"/>
  <c r="AH35" i="40" s="1"/>
  <c r="AT35" i="40" a="1"/>
  <c r="AT35" i="40" s="1"/>
  <c r="BB35" i="40" a="1"/>
  <c r="BB35" i="40" s="1"/>
  <c r="BF35" i="40" a="1"/>
  <c r="BF35" i="40" s="1"/>
  <c r="D35" i="40" a="1"/>
  <c r="D35" i="40" s="1"/>
  <c r="H35" i="40" a="1"/>
  <c r="H35" i="40" s="1"/>
  <c r="P35" i="40" a="1"/>
  <c r="P35" i="40" s="1"/>
  <c r="T35" i="40" a="1"/>
  <c r="T35" i="40" s="1"/>
  <c r="AB35" i="40" a="1"/>
  <c r="AB35" i="40" s="1"/>
  <c r="AF35" i="40" a="1"/>
  <c r="AF35" i="40" s="1"/>
  <c r="AN35" i="40" a="1"/>
  <c r="AN35" i="40" s="1"/>
  <c r="AR35" i="40" a="1"/>
  <c r="AR35" i="40" s="1"/>
  <c r="AZ35" i="40" a="1"/>
  <c r="AZ35" i="40" s="1"/>
  <c r="BD35" i="40" a="1"/>
  <c r="BD35" i="40" s="1"/>
  <c r="BL35" i="40" a="1"/>
  <c r="BL35" i="40" s="1"/>
  <c r="J35" i="40" a="1"/>
  <c r="J35" i="40" s="1"/>
  <c r="AD35" i="40" a="1"/>
  <c r="AD35" i="40" s="1"/>
  <c r="AP35" i="40" a="1"/>
  <c r="AP35" i="40" s="1"/>
  <c r="V35" i="40" a="1"/>
  <c r="V35" i="40" s="1"/>
  <c r="L35" i="40" a="1"/>
  <c r="L35" i="40" s="1"/>
  <c r="X35" i="40" a="1"/>
  <c r="X35" i="40" s="1"/>
  <c r="AJ35" i="40" a="1"/>
  <c r="AJ35" i="40" s="1"/>
  <c r="AV35" i="40" a="1"/>
  <c r="AV35" i="40" s="1"/>
  <c r="BH35" i="40" a="1"/>
  <c r="BH35" i="40" s="1"/>
  <c r="D32" i="40" a="1"/>
  <c r="D32" i="40" s="1"/>
  <c r="P32" i="40" a="1"/>
  <c r="P32" i="40" s="1"/>
  <c r="AB32" i="40" a="1"/>
  <c r="AB32" i="40" s="1"/>
  <c r="AN32" i="40" a="1"/>
  <c r="AN32" i="40" s="1"/>
  <c r="AZ32" i="40" a="1"/>
  <c r="AZ32" i="40" s="1"/>
  <c r="L29" i="40" a="1"/>
  <c r="L29" i="40" s="1"/>
  <c r="X29" i="40" a="1"/>
  <c r="X29" i="40" s="1"/>
  <c r="AF29" i="40" a="1"/>
  <c r="AF29" i="40" s="1"/>
  <c r="AR29" i="40" a="1"/>
  <c r="AR29" i="40" s="1"/>
  <c r="AV29" i="40" a="1"/>
  <c r="AV29" i="40" s="1"/>
  <c r="BD29" i="40" a="1"/>
  <c r="BD29" i="40" s="1"/>
  <c r="BH29" i="40" a="1"/>
  <c r="BH29" i="40" s="1"/>
  <c r="H29" i="40" a="1"/>
  <c r="H29" i="40" s="1"/>
  <c r="T29" i="40" a="1"/>
  <c r="T29" i="40" s="1"/>
  <c r="X14" i="40" a="1"/>
  <c r="X14" i="40" s="1"/>
  <c r="AJ14" i="40" a="1"/>
  <c r="AJ14" i="40" s="1"/>
  <c r="BH14" i="40" a="1"/>
  <c r="BH14" i="40" s="1"/>
  <c r="L14" i="40" a="1"/>
  <c r="L14" i="40" s="1"/>
  <c r="AV14" i="40" a="1"/>
  <c r="AV14" i="40" s="1"/>
  <c r="AZ8" i="40" a="1"/>
  <c r="AZ8" i="40" s="1"/>
  <c r="AJ29" i="40" a="1"/>
  <c r="AJ29" i="40" s="1"/>
  <c r="BB8" i="40" a="1"/>
  <c r="BB8" i="40" s="1"/>
  <c r="D29" i="40" a="1"/>
  <c r="D29" i="40" s="1"/>
  <c r="P29" i="40" a="1"/>
  <c r="P29" i="40" s="1"/>
  <c r="AB29" i="40" a="1"/>
  <c r="AB29" i="40" s="1"/>
  <c r="AN29" i="40" a="1"/>
  <c r="AN29" i="40" s="1"/>
  <c r="AZ29" i="40" a="1"/>
  <c r="AZ29" i="40" s="1"/>
  <c r="BL29" i="40" a="1"/>
  <c r="BL29" i="40" s="1"/>
  <c r="F26" i="40" a="1"/>
  <c r="F26" i="40" s="1"/>
  <c r="R26" i="40" a="1"/>
  <c r="R26" i="40" s="1"/>
  <c r="AP26" i="40" a="1"/>
  <c r="AP26" i="40" s="1"/>
  <c r="BB26" i="40" a="1"/>
  <c r="BB26" i="40" s="1"/>
  <c r="J17" i="40" a="1"/>
  <c r="J17" i="40" s="1"/>
  <c r="N14" i="40" a="1"/>
  <c r="N14" i="40" s="1"/>
  <c r="AB8" i="40" a="1"/>
  <c r="AB8" i="40" s="1"/>
  <c r="Z23" i="40" a="1"/>
  <c r="Z23" i="40" s="1"/>
  <c r="AX23" i="40" a="1"/>
  <c r="AX23" i="40" s="1"/>
  <c r="L23" i="40" a="1"/>
  <c r="L23" i="40" s="1"/>
  <c r="X23" i="40" a="1"/>
  <c r="X23" i="40" s="1"/>
  <c r="AJ23" i="40" a="1"/>
  <c r="AJ23" i="40" s="1"/>
  <c r="AV23" i="40" a="1"/>
  <c r="AV23" i="40" s="1"/>
  <c r="BH23" i="40" a="1"/>
  <c r="BH23" i="40" s="1"/>
  <c r="AL23" i="40" a="1"/>
  <c r="AL23" i="40" s="1"/>
  <c r="Z14" i="40" a="1"/>
  <c r="Z14" i="40" s="1"/>
  <c r="V17" i="40" a="1"/>
  <c r="V17" i="40" s="1"/>
  <c r="AT17" i="40" a="1"/>
  <c r="AT17" i="40" s="1"/>
  <c r="BF17" i="40" a="1"/>
  <c r="BF17" i="40" s="1"/>
  <c r="BL8" i="40" a="1"/>
  <c r="BL8" i="40" s="1"/>
  <c r="BJ23" i="40" a="1"/>
  <c r="BJ23" i="40" s="1"/>
  <c r="AP8" i="40" a="1"/>
  <c r="AP8" i="40" s="1"/>
  <c r="AH17" i="40" a="1"/>
  <c r="AH17" i="40" s="1"/>
  <c r="AX14" i="40" a="1"/>
  <c r="AX14" i="40" s="1"/>
  <c r="BJ14" i="40" a="1"/>
  <c r="BJ14" i="40" s="1"/>
  <c r="AL14" i="40" a="1"/>
  <c r="AL14" i="40" s="1"/>
  <c r="AD26" i="40" a="1"/>
  <c r="AD26" i="40" s="1"/>
  <c r="N23" i="40" a="1"/>
  <c r="N23" i="40" s="1"/>
  <c r="J8" i="40" a="1"/>
  <c r="J8" i="40" s="1"/>
  <c r="L8" i="40" a="1"/>
  <c r="L8" i="40" s="1"/>
  <c r="X8" i="40" a="1"/>
  <c r="X8" i="40" s="1"/>
  <c r="AJ8" i="40" a="1"/>
  <c r="AJ8" i="40" s="1"/>
  <c r="AV8" i="40" a="1"/>
  <c r="AV8" i="40" s="1"/>
  <c r="BH8" i="40" a="1"/>
  <c r="BH8" i="40" s="1"/>
  <c r="BJ17" i="40" a="1"/>
  <c r="BJ17" i="40" s="1"/>
  <c r="J20" i="40" a="1"/>
  <c r="J20" i="40" s="1"/>
  <c r="V20" i="40" a="1"/>
  <c r="V20" i="40" s="1"/>
  <c r="AH20" i="40" a="1"/>
  <c r="AH20" i="40" s="1"/>
  <c r="AT20" i="40" a="1"/>
  <c r="AT20" i="40" s="1"/>
  <c r="BF20" i="40" a="1"/>
  <c r="BF20" i="40" s="1"/>
  <c r="Z8" i="40" a="1"/>
  <c r="Z8" i="40" s="1"/>
  <c r="AL8" i="40" a="1"/>
  <c r="AL8" i="40" s="1"/>
  <c r="AX8" i="40" a="1"/>
  <c r="AX8" i="40" s="1"/>
  <c r="BJ8" i="40" a="1"/>
  <c r="BJ8" i="40" s="1"/>
  <c r="L11" i="40" a="1"/>
  <c r="L11" i="40" s="1"/>
  <c r="X11" i="40" a="1"/>
  <c r="X11" i="40" s="1"/>
  <c r="AJ11" i="40" a="1"/>
  <c r="AJ11" i="40" s="1"/>
  <c r="AV11" i="40" a="1"/>
  <c r="AV11" i="40" s="1"/>
  <c r="BH11" i="40" a="1"/>
  <c r="BH11" i="40" s="1"/>
  <c r="H14" i="40" a="1"/>
  <c r="H14" i="40" s="1"/>
  <c r="T14" i="40" a="1"/>
  <c r="T14" i="40" s="1"/>
  <c r="AF14" i="40" a="1"/>
  <c r="AF14" i="40" s="1"/>
  <c r="AR14" i="40" a="1"/>
  <c r="AR14" i="40" s="1"/>
  <c r="BD14" i="40" a="1"/>
  <c r="BD14" i="40" s="1"/>
  <c r="BL17" i="40" a="1"/>
  <c r="BL17" i="40" s="1"/>
  <c r="L20" i="40" a="1"/>
  <c r="L20" i="40" s="1"/>
  <c r="X20" i="40" a="1"/>
  <c r="X20" i="40" s="1"/>
  <c r="AJ20" i="40" a="1"/>
  <c r="AJ20" i="40" s="1"/>
  <c r="AV20" i="40" a="1"/>
  <c r="AV20" i="40" s="1"/>
  <c r="BH20" i="40" a="1"/>
  <c r="BH20" i="40" s="1"/>
  <c r="H8" i="40" a="1"/>
  <c r="H8" i="40" s="1"/>
  <c r="R20" i="40" a="1"/>
  <c r="R20" i="40" s="1"/>
  <c r="BB20" i="40" a="1"/>
  <c r="BB20" i="40" s="1"/>
  <c r="F14" i="40" a="1"/>
  <c r="F14" i="40" s="1"/>
  <c r="AD14" i="40" a="1"/>
  <c r="AD14" i="40" s="1"/>
  <c r="N17" i="40" a="1"/>
  <c r="N17" i="40" s="1"/>
  <c r="Z17" i="40" a="1"/>
  <c r="Z17" i="40" s="1"/>
  <c r="AX17" i="40" a="1"/>
  <c r="AX17" i="40" s="1"/>
  <c r="N26" i="40" a="1"/>
  <c r="N26" i="40" s="1"/>
  <c r="Z26" i="40" a="1"/>
  <c r="Z26" i="40" s="1"/>
  <c r="AL26" i="40" a="1"/>
  <c r="AL26" i="40" s="1"/>
  <c r="AX26" i="40" a="1"/>
  <c r="AX26" i="40" s="1"/>
  <c r="BJ26" i="40" a="1"/>
  <c r="BJ26" i="40" s="1"/>
  <c r="F20" i="40" a="1"/>
  <c r="F20" i="40" s="1"/>
  <c r="AP20" i="40" a="1"/>
  <c r="AP20" i="40" s="1"/>
  <c r="R14" i="40" a="1"/>
  <c r="R14" i="40" s="1"/>
  <c r="BB14" i="40" a="1"/>
  <c r="BB14" i="40" s="1"/>
  <c r="AL17" i="40" a="1"/>
  <c r="AL17" i="40" s="1"/>
  <c r="Z11" i="40" a="1"/>
  <c r="Z11" i="40" s="1"/>
  <c r="AL11" i="40" a="1"/>
  <c r="AL11" i="40" s="1"/>
  <c r="BJ11" i="40" a="1"/>
  <c r="BJ11" i="40" s="1"/>
  <c r="J14" i="40" a="1"/>
  <c r="J14" i="40" s="1"/>
  <c r="V14" i="40" a="1"/>
  <c r="V14" i="40" s="1"/>
  <c r="AH14" i="40" a="1"/>
  <c r="AH14" i="40" s="1"/>
  <c r="AT14" i="40" a="1"/>
  <c r="AT14" i="40" s="1"/>
  <c r="BF14" i="40" a="1"/>
  <c r="BF14" i="40" s="1"/>
  <c r="F17" i="40" a="1"/>
  <c r="F17" i="40" s="1"/>
  <c r="R17" i="40" a="1"/>
  <c r="R17" i="40" s="1"/>
  <c r="AD17" i="40" a="1"/>
  <c r="AD17" i="40" s="1"/>
  <c r="AP17" i="40" a="1"/>
  <c r="AP17" i="40" s="1"/>
  <c r="BB17" i="40" a="1"/>
  <c r="BB17" i="40" s="1"/>
  <c r="N20" i="40" a="1"/>
  <c r="N20" i="40" s="1"/>
  <c r="Z20" i="40" a="1"/>
  <c r="Z20" i="40" s="1"/>
  <c r="AL20" i="40" a="1"/>
  <c r="AL20" i="40" s="1"/>
  <c r="AX20" i="40" a="1"/>
  <c r="AX20" i="40" s="1"/>
  <c r="BJ20" i="40" a="1"/>
  <c r="BJ20" i="40" s="1"/>
  <c r="J23" i="40" a="1"/>
  <c r="J23" i="40" s="1"/>
  <c r="V23" i="40" a="1"/>
  <c r="V23" i="40" s="1"/>
  <c r="AH23" i="40" a="1"/>
  <c r="AH23" i="40" s="1"/>
  <c r="AT23" i="40" a="1"/>
  <c r="AT23" i="40" s="1"/>
  <c r="BF23" i="40" a="1"/>
  <c r="BF23" i="40" s="1"/>
  <c r="AD20" i="40" a="1"/>
  <c r="AD20" i="40" s="1"/>
  <c r="AP14" i="40" a="1"/>
  <c r="AP14" i="40" s="1"/>
  <c r="N11" i="40" a="1"/>
  <c r="N11" i="40" s="1"/>
  <c r="AX11" i="40" a="1"/>
  <c r="AX11" i="40" s="1"/>
  <c r="P17" i="40" a="1"/>
  <c r="P17" i="40" s="1"/>
  <c r="AZ17" i="40" a="1"/>
  <c r="AZ17" i="40" s="1"/>
  <c r="T20" i="40" a="1"/>
  <c r="T20" i="40" s="1"/>
  <c r="AR20" i="40" a="1"/>
  <c r="AR20" i="40" s="1"/>
  <c r="AN26" i="40" a="1"/>
  <c r="AN26" i="40" s="1"/>
  <c r="AF17" i="40" a="1"/>
  <c r="AF17" i="40" s="1"/>
  <c r="P11" i="40" a="1"/>
  <c r="P11" i="40" s="1"/>
  <c r="AZ11" i="40" a="1"/>
  <c r="AZ11" i="40" s="1"/>
  <c r="AH8" i="40" a="1"/>
  <c r="AH8" i="40" s="1"/>
  <c r="AT8" i="40" a="1"/>
  <c r="AT8" i="40" s="1"/>
  <c r="BF8" i="40" a="1"/>
  <c r="BF8" i="40" s="1"/>
  <c r="H11" i="40" a="1"/>
  <c r="H11" i="40" s="1"/>
  <c r="T11" i="40" a="1"/>
  <c r="T11" i="40" s="1"/>
  <c r="AF11" i="40" a="1"/>
  <c r="AF11" i="40" s="1"/>
  <c r="AR11" i="40" a="1"/>
  <c r="AR11" i="40" s="1"/>
  <c r="BD11" i="40" a="1"/>
  <c r="BD11" i="40" s="1"/>
  <c r="F11" i="40" a="1"/>
  <c r="F11" i="40" s="1"/>
  <c r="R11" i="40" a="1"/>
  <c r="R11" i="40" s="1"/>
  <c r="AD11" i="40" a="1"/>
  <c r="AD11" i="40" s="1"/>
  <c r="AP11" i="40" a="1"/>
  <c r="AP11" i="40" s="1"/>
  <c r="BB11" i="40" a="1"/>
  <c r="BB11" i="40" s="1"/>
  <c r="L17" i="40" a="1"/>
  <c r="L17" i="40" s="1"/>
  <c r="X17" i="40" a="1"/>
  <c r="X17" i="40" s="1"/>
  <c r="AJ17" i="40" a="1"/>
  <c r="AJ17" i="40" s="1"/>
  <c r="AV17" i="40" a="1"/>
  <c r="AV17" i="40" s="1"/>
  <c r="BH17" i="40" a="1"/>
  <c r="BH17" i="40" s="1"/>
  <c r="F23" i="40" a="1"/>
  <c r="F23" i="40" s="1"/>
  <c r="R23" i="40" a="1"/>
  <c r="R23" i="40" s="1"/>
  <c r="AD23" i="40" a="1"/>
  <c r="AD23" i="40" s="1"/>
  <c r="AP23" i="40" a="1"/>
  <c r="AP23" i="40" s="1"/>
  <c r="BB23" i="40" a="1"/>
  <c r="BB23" i="40" s="1"/>
  <c r="D23" i="40" a="1"/>
  <c r="D23" i="40" s="1"/>
  <c r="P23" i="40" a="1"/>
  <c r="P23" i="40" s="1"/>
  <c r="AB23" i="40" a="1"/>
  <c r="AB23" i="40" s="1"/>
  <c r="AN23" i="40" a="1"/>
  <c r="AN23" i="40" s="1"/>
  <c r="AZ23" i="40" a="1"/>
  <c r="AZ23" i="40" s="1"/>
  <c r="BL23" i="40" a="1"/>
  <c r="BL23" i="40" s="1"/>
  <c r="D26" i="40" a="1"/>
  <c r="D26" i="40" s="1"/>
  <c r="AR17" i="40" a="1"/>
  <c r="AR17" i="40" s="1"/>
  <c r="AB11" i="40" a="1"/>
  <c r="AB11" i="40" s="1"/>
  <c r="D20" i="40" a="1"/>
  <c r="D20" i="40" s="1"/>
  <c r="P20" i="40" a="1"/>
  <c r="P20" i="40" s="1"/>
  <c r="AB20" i="40" a="1"/>
  <c r="AB20" i="40" s="1"/>
  <c r="AN20" i="40" a="1"/>
  <c r="AN20" i="40" s="1"/>
  <c r="AZ20" i="40" a="1"/>
  <c r="AZ20" i="40" s="1"/>
  <c r="BL20" i="40" a="1"/>
  <c r="BL20" i="40" s="1"/>
  <c r="J26" i="40" a="1"/>
  <c r="J26" i="40" s="1"/>
  <c r="V26" i="40" a="1"/>
  <c r="V26" i="40" s="1"/>
  <c r="AH26" i="40" a="1"/>
  <c r="AH26" i="40" s="1"/>
  <c r="AT26" i="40" a="1"/>
  <c r="AT26" i="40" s="1"/>
  <c r="BF26" i="40" a="1"/>
  <c r="BF26" i="40" s="1"/>
  <c r="H26" i="40" a="1"/>
  <c r="H26" i="40" s="1"/>
  <c r="T26" i="40" a="1"/>
  <c r="T26" i="40" s="1"/>
  <c r="AF26" i="40" a="1"/>
  <c r="AF26" i="40" s="1"/>
  <c r="AR26" i="40" a="1"/>
  <c r="AR26" i="40" s="1"/>
  <c r="BD26" i="40" a="1"/>
  <c r="BD26" i="40" s="1"/>
  <c r="AB17" i="40" a="1"/>
  <c r="AB17" i="40" s="1"/>
  <c r="H17" i="40" a="1"/>
  <c r="H17" i="40" s="1"/>
  <c r="J11" i="40" a="1"/>
  <c r="J11" i="40" s="1"/>
  <c r="BF11" i="40" a="1"/>
  <c r="BF11" i="40" s="1"/>
  <c r="H23" i="40" a="1"/>
  <c r="H23" i="40" s="1"/>
  <c r="T23" i="40" a="1"/>
  <c r="T23" i="40" s="1"/>
  <c r="AF23" i="40" a="1"/>
  <c r="AF23" i="40" s="1"/>
  <c r="AR23" i="40" a="1"/>
  <c r="AR23" i="40" s="1"/>
  <c r="BD23" i="40" a="1"/>
  <c r="BD23" i="40" s="1"/>
  <c r="D17" i="40" a="1"/>
  <c r="D17" i="40" s="1"/>
  <c r="AN17" i="40" a="1"/>
  <c r="AN17" i="40" s="1"/>
  <c r="H20" i="40" a="1"/>
  <c r="H20" i="40" s="1"/>
  <c r="AF20" i="40" a="1"/>
  <c r="AF20" i="40" s="1"/>
  <c r="BD20" i="40" a="1"/>
  <c r="BD20" i="40" s="1"/>
  <c r="P26" i="40" a="1"/>
  <c r="P26" i="40" s="1"/>
  <c r="AB26" i="40" a="1"/>
  <c r="AB26" i="40" s="1"/>
  <c r="AZ26" i="40" a="1"/>
  <c r="AZ26" i="40" s="1"/>
  <c r="BL26" i="40" a="1"/>
  <c r="BL26" i="40" s="1"/>
  <c r="AF8" i="40" a="1"/>
  <c r="AF8" i="40" s="1"/>
  <c r="T17" i="40" a="1"/>
  <c r="T17" i="40" s="1"/>
  <c r="BD17" i="40" a="1"/>
  <c r="BD17" i="40" s="1"/>
  <c r="D11" i="40" a="1"/>
  <c r="D11" i="40" s="1"/>
  <c r="AN11" i="40" a="1"/>
  <c r="AN11" i="40" s="1"/>
  <c r="BL11" i="40" a="1"/>
  <c r="BL11" i="40" s="1"/>
  <c r="V11" i="40" a="1"/>
  <c r="V11" i="40" s="1"/>
  <c r="AH11" i="40" a="1"/>
  <c r="AH11" i="40" s="1"/>
  <c r="AT11" i="40" a="1"/>
  <c r="AT11" i="40" s="1"/>
  <c r="N8" i="40" a="1"/>
  <c r="N8" i="40" s="1"/>
  <c r="D14" i="40" a="1"/>
  <c r="D14" i="40" s="1"/>
  <c r="P14" i="40" a="1"/>
  <c r="P14" i="40" s="1"/>
  <c r="AB14" i="40" a="1"/>
  <c r="AB14" i="40" s="1"/>
  <c r="AN14" i="40" a="1"/>
  <c r="AN14" i="40" s="1"/>
  <c r="AZ14" i="40" a="1"/>
  <c r="AZ14" i="40" s="1"/>
  <c r="BL14" i="40" a="1"/>
  <c r="BL14" i="40" s="1"/>
  <c r="L26" i="40" a="1"/>
  <c r="L26" i="40" s="1"/>
  <c r="X26" i="40" a="1"/>
  <c r="X26" i="40" s="1"/>
  <c r="AJ26" i="40" a="1"/>
  <c r="AJ26" i="40" s="1"/>
  <c r="AV26" i="40" a="1"/>
  <c r="AV26" i="40" s="1"/>
  <c r="BH26" i="40" a="1"/>
  <c r="BH26" i="40" s="1"/>
  <c r="V8" i="40" a="1"/>
  <c r="V8" i="40" s="1"/>
  <c r="R8" i="40" a="1"/>
  <c r="R8" i="40" s="1"/>
  <c r="B39" i="40" l="1"/>
  <c r="B36" i="40"/>
  <c r="B33" i="40"/>
  <c r="B30" i="40"/>
  <c r="B27" i="40"/>
  <c r="B24" i="40"/>
  <c r="B21" i="40"/>
  <c r="B18" i="40"/>
  <c r="B15" i="40"/>
  <c r="B12" i="40"/>
  <c r="B9" i="40"/>
  <c r="B6" i="40"/>
  <c r="A4" i="40" l="1"/>
  <c r="D4" i="40"/>
  <c r="F4" i="40" s="1"/>
  <c r="H4" i="40" s="1"/>
  <c r="J4" i="40" s="1"/>
  <c r="L4" i="40" s="1"/>
  <c r="N4" i="40" s="1"/>
  <c r="P4" i="40" s="1"/>
  <c r="R4" i="40" s="1"/>
  <c r="T4" i="40" s="1"/>
  <c r="V4" i="40" s="1"/>
  <c r="X4" i="40" s="1"/>
  <c r="Z4" i="40" s="1"/>
  <c r="AB4" i="40" s="1"/>
  <c r="AD4" i="40" s="1"/>
  <c r="AF4" i="40" s="1"/>
  <c r="AH4" i="40" s="1"/>
  <c r="AJ4" i="40" s="1"/>
  <c r="AL4" i="40" s="1"/>
  <c r="AN4" i="40" s="1"/>
  <c r="AP4" i="40" s="1"/>
  <c r="AR4" i="40" s="1"/>
  <c r="AT4" i="40" s="1"/>
  <c r="AV4" i="40" s="1"/>
  <c r="AX4" i="40" s="1"/>
  <c r="AZ4" i="40" s="1"/>
  <c r="BB4" i="40" s="1"/>
  <c r="BD4" i="40" s="1"/>
  <c r="BF4" i="40" s="1"/>
  <c r="BH4" i="40" s="1"/>
  <c r="BJ4" i="40" s="1"/>
  <c r="E7" i="40"/>
  <c r="D7" i="40"/>
  <c r="E6" i="40"/>
  <c r="D6" i="40"/>
  <c r="D8" i="40" l="1" a="1"/>
  <c r="D8" i="40" s="1"/>
  <c r="BL47" i="2" l="1"/>
  <c r="BJ47" i="2"/>
  <c r="BH47" i="2"/>
  <c r="BF47" i="2"/>
  <c r="BD47" i="2"/>
  <c r="BB47" i="2"/>
  <c r="AZ47" i="2"/>
  <c r="AX47" i="2"/>
  <c r="AV47" i="2"/>
  <c r="AT47" i="2"/>
  <c r="AR47" i="2"/>
  <c r="AP47" i="2"/>
  <c r="AN47" i="2"/>
  <c r="AL47" i="2"/>
  <c r="AJ47" i="2"/>
  <c r="AH47" i="2"/>
  <c r="AF47" i="2"/>
  <c r="AD47" i="2"/>
  <c r="AB47" i="2"/>
  <c r="Z47" i="2"/>
  <c r="X47" i="2"/>
  <c r="V47" i="2"/>
  <c r="T47" i="2"/>
  <c r="R47" i="2"/>
  <c r="P47" i="2"/>
  <c r="N47" i="2"/>
  <c r="L47" i="2"/>
  <c r="J47" i="2"/>
  <c r="H47" i="2"/>
  <c r="BL46" i="2"/>
  <c r="BJ46" i="2"/>
  <c r="BH46" i="2"/>
  <c r="BF46" i="2"/>
  <c r="BD46" i="2"/>
  <c r="BB46" i="2"/>
  <c r="AZ46" i="2"/>
  <c r="AX46" i="2"/>
  <c r="AV46" i="2"/>
  <c r="AT46" i="2"/>
  <c r="AR46" i="2"/>
  <c r="AP46" i="2"/>
  <c r="AN46" i="2"/>
  <c r="AL46" i="2"/>
  <c r="AJ46" i="2"/>
  <c r="AH46" i="2"/>
  <c r="AF46" i="2"/>
  <c r="AD46" i="2"/>
  <c r="AB46" i="2"/>
  <c r="Z46" i="2"/>
  <c r="X46" i="2"/>
  <c r="V46" i="2"/>
  <c r="T46" i="2"/>
  <c r="R46" i="2"/>
  <c r="P46" i="2"/>
  <c r="N46" i="2"/>
  <c r="L46" i="2"/>
  <c r="J46" i="2"/>
  <c r="H46" i="2"/>
  <c r="F47" i="2"/>
  <c r="F46" i="2"/>
  <c r="D47" i="2"/>
  <c r="D46" i="2"/>
  <c r="BL35" i="2"/>
  <c r="BJ35" i="2"/>
  <c r="BH35" i="2"/>
  <c r="BF35" i="2"/>
  <c r="BD35" i="2"/>
  <c r="BB35" i="2"/>
  <c r="AZ35" i="2"/>
  <c r="AX35" i="2"/>
  <c r="AT35" i="2"/>
  <c r="AR35" i="2"/>
  <c r="AP35" i="2"/>
  <c r="AN35" i="2"/>
  <c r="AL35" i="2"/>
  <c r="AJ35" i="2"/>
  <c r="AH35" i="2"/>
  <c r="AF35" i="2"/>
  <c r="AD35" i="2"/>
  <c r="AB35" i="2"/>
  <c r="Z35" i="2"/>
  <c r="X35" i="2"/>
  <c r="V35" i="2"/>
  <c r="T35" i="2"/>
  <c r="R35" i="2"/>
  <c r="P35" i="2"/>
  <c r="N35" i="2"/>
  <c r="L35" i="2"/>
  <c r="J35" i="2"/>
  <c r="H35" i="2"/>
  <c r="F35" i="2"/>
  <c r="D35" i="2"/>
  <c r="BL32" i="2"/>
  <c r="BJ32" i="2"/>
  <c r="BH32" i="2"/>
  <c r="BF32" i="2"/>
  <c r="BD32" i="2"/>
  <c r="BB32" i="2"/>
  <c r="AZ32" i="2"/>
  <c r="AX32" i="2"/>
  <c r="AV32" i="2"/>
  <c r="AT32" i="2"/>
  <c r="AR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F32" i="2"/>
  <c r="D32" i="2"/>
  <c r="BL44" i="2"/>
  <c r="BJ44" i="2"/>
  <c r="BH44" i="2"/>
  <c r="BF44" i="2"/>
  <c r="BD44" i="2"/>
  <c r="BB44" i="2"/>
  <c r="AZ44" i="2"/>
  <c r="AX44" i="2"/>
  <c r="AV44" i="2"/>
  <c r="AT44" i="2"/>
  <c r="AR44" i="2"/>
  <c r="AP44" i="2"/>
  <c r="AN44" i="2"/>
  <c r="AL44" i="2"/>
  <c r="AJ44" i="2"/>
  <c r="AH44" i="2"/>
  <c r="AF44" i="2"/>
  <c r="AD44" i="2"/>
  <c r="AB44" i="2"/>
  <c r="Z44" i="2"/>
  <c r="X44" i="2"/>
  <c r="V44" i="2"/>
  <c r="T44" i="2"/>
  <c r="R44" i="2"/>
  <c r="P44" i="2"/>
  <c r="N44" i="2"/>
  <c r="L44" i="2"/>
  <c r="J44" i="2"/>
  <c r="H44" i="2"/>
  <c r="F44" i="2"/>
  <c r="D44" i="2"/>
  <c r="BL38" i="2"/>
  <c r="BJ38" i="2"/>
  <c r="BH38" i="2"/>
  <c r="BF38" i="2"/>
  <c r="BD38" i="2"/>
  <c r="BB38" i="2"/>
  <c r="AZ38" i="2"/>
  <c r="AX38" i="2"/>
  <c r="AV38" i="2"/>
  <c r="AT38" i="2"/>
  <c r="AR38" i="2"/>
  <c r="AP38" i="2"/>
  <c r="AN38" i="2"/>
  <c r="AL38" i="2"/>
  <c r="AJ38" i="2"/>
  <c r="AH38" i="2"/>
  <c r="AF38" i="2"/>
  <c r="AD38" i="2"/>
  <c r="AB38" i="2"/>
  <c r="Z38" i="2"/>
  <c r="X38" i="2"/>
  <c r="V38" i="2"/>
  <c r="T38" i="2"/>
  <c r="R38" i="2"/>
  <c r="P38" i="2"/>
  <c r="N38" i="2"/>
  <c r="L38" i="2"/>
  <c r="J38" i="2"/>
  <c r="H38" i="2"/>
  <c r="F38" i="2"/>
  <c r="D38" i="2"/>
  <c r="BL29" i="2"/>
  <c r="BJ29" i="2"/>
  <c r="BH29" i="2"/>
  <c r="BF29" i="2"/>
  <c r="BD29" i="2"/>
  <c r="BB29" i="2"/>
  <c r="AZ29" i="2"/>
  <c r="AX29" i="2"/>
  <c r="AV29" i="2"/>
  <c r="AT29" i="2"/>
  <c r="AR29" i="2"/>
  <c r="AP29" i="2"/>
  <c r="AN29" i="2"/>
  <c r="AL29" i="2"/>
  <c r="AJ29" i="2"/>
  <c r="AH29" i="2"/>
  <c r="AF29" i="2"/>
  <c r="AD29" i="2"/>
  <c r="AB29" i="2"/>
  <c r="Z29" i="2"/>
  <c r="X29" i="2"/>
  <c r="V29" i="2"/>
  <c r="T29" i="2"/>
  <c r="R29" i="2"/>
  <c r="P29" i="2"/>
  <c r="N29" i="2"/>
  <c r="L29" i="2"/>
  <c r="J29" i="2"/>
  <c r="H29" i="2"/>
  <c r="F29" i="2"/>
  <c r="D29" i="2"/>
  <c r="C7" i="7"/>
  <c r="C8" i="7" s="1"/>
  <c r="C9" i="7" s="1"/>
  <c r="C10" i="7" s="1"/>
  <c r="C11" i="7" s="1"/>
  <c r="C12" i="7" s="1"/>
  <c r="C7" i="8"/>
  <c r="C8" i="8" s="1"/>
  <c r="C9" i="8" s="1"/>
  <c r="C10" i="8" s="1"/>
  <c r="C11" i="8" s="1"/>
  <c r="C12" i="8" s="1"/>
  <c r="C7" i="9"/>
  <c r="C8" i="9" s="1"/>
  <c r="C9" i="9" s="1"/>
  <c r="C10" i="9" s="1"/>
  <c r="C11" i="9" s="1"/>
  <c r="C12" i="9" s="1"/>
  <c r="C7" i="10"/>
  <c r="C8" i="10" s="1"/>
  <c r="C9" i="10" s="1"/>
  <c r="C10" i="10" s="1"/>
  <c r="C11" i="10" s="1"/>
  <c r="C12" i="10" s="1"/>
  <c r="C7" i="11"/>
  <c r="C8" i="11" s="1"/>
  <c r="C9" i="11" s="1"/>
  <c r="C10" i="11" s="1"/>
  <c r="C11" i="11" s="1"/>
  <c r="C12" i="11" s="1"/>
  <c r="C7" i="12"/>
  <c r="C8" i="12" s="1"/>
  <c r="C9" i="12" s="1"/>
  <c r="C10" i="12" s="1"/>
  <c r="C11" i="12" s="1"/>
  <c r="C12" i="12" s="1"/>
  <c r="C7" i="13"/>
  <c r="C8" i="13" s="1"/>
  <c r="C9" i="13" s="1"/>
  <c r="C10" i="13" s="1"/>
  <c r="C11" i="13" s="1"/>
  <c r="C12" i="13" s="1"/>
  <c r="C7" i="14"/>
  <c r="C8" i="14" s="1"/>
  <c r="C9" i="14" s="1"/>
  <c r="C10" i="14" s="1"/>
  <c r="C11" i="14" s="1"/>
  <c r="C12" i="14" s="1"/>
  <c r="C13" i="14" s="1"/>
  <c r="C14" i="14" s="1"/>
  <c r="C15" i="14" s="1"/>
  <c r="C7" i="15"/>
  <c r="C8" i="15" s="1"/>
  <c r="C9" i="15" s="1"/>
  <c r="C10" i="15" s="1"/>
  <c r="C11" i="15" s="1"/>
  <c r="C12" i="15" s="1"/>
  <c r="C7" i="16"/>
  <c r="C8" i="16" s="1"/>
  <c r="C9" i="16" s="1"/>
  <c r="C10" i="16" s="1"/>
  <c r="C11" i="16" s="1"/>
  <c r="C12" i="16" s="1"/>
  <c r="C13" i="16" s="1"/>
  <c r="C14" i="16" s="1"/>
  <c r="C15" i="16" s="1"/>
  <c r="C7" i="17"/>
  <c r="C8" i="17" s="1"/>
  <c r="C9" i="17" s="1"/>
  <c r="C10" i="17" s="1"/>
  <c r="C11" i="17" s="1"/>
  <c r="C12" i="17" s="1"/>
  <c r="C7" i="18"/>
  <c r="C8" i="18" s="1"/>
  <c r="C9" i="18" s="1"/>
  <c r="C10" i="18" s="1"/>
  <c r="C11" i="18" s="1"/>
  <c r="C12" i="18" s="1"/>
  <c r="C7" i="19"/>
  <c r="C8" i="19" s="1"/>
  <c r="C9" i="19" s="1"/>
  <c r="C10" i="19" s="1"/>
  <c r="C11" i="19" s="1"/>
  <c r="C12" i="19" s="1"/>
  <c r="C7" i="20"/>
  <c r="C8" i="20" s="1"/>
  <c r="C9" i="20" s="1"/>
  <c r="C10" i="20" s="1"/>
  <c r="C11" i="20" s="1"/>
  <c r="C12" i="20" s="1"/>
  <c r="C13" i="20" s="1"/>
  <c r="C14" i="20" s="1"/>
  <c r="C15" i="20" s="1"/>
  <c r="C7" i="21"/>
  <c r="C8" i="21" s="1"/>
  <c r="C9" i="21" s="1"/>
  <c r="C10" i="21" s="1"/>
  <c r="C11" i="21" s="1"/>
  <c r="C12" i="21" s="1"/>
  <c r="C13" i="21" s="1"/>
  <c r="C14" i="21" s="1"/>
  <c r="C15" i="21" s="1"/>
  <c r="C7" i="23"/>
  <c r="C8" i="23" s="1"/>
  <c r="C9" i="23" s="1"/>
  <c r="C10" i="23" s="1"/>
  <c r="C11" i="23" s="1"/>
  <c r="C12" i="23" s="1"/>
  <c r="C7" i="24"/>
  <c r="C8" i="24" s="1"/>
  <c r="C9" i="24" s="1"/>
  <c r="C10" i="24" s="1"/>
  <c r="C11" i="24" s="1"/>
  <c r="C12" i="24" s="1"/>
  <c r="C7" i="25"/>
  <c r="C8" i="25" s="1"/>
  <c r="C9" i="25" s="1"/>
  <c r="C10" i="25" s="1"/>
  <c r="C11" i="25" s="1"/>
  <c r="C12" i="25" s="1"/>
  <c r="C7" i="26"/>
  <c r="C8" i="26" s="1"/>
  <c r="C9" i="26" s="1"/>
  <c r="C10" i="26" s="1"/>
  <c r="C11" i="26" s="1"/>
  <c r="C12" i="26" s="1"/>
  <c r="C7" i="27"/>
  <c r="C8" i="27" s="1"/>
  <c r="C9" i="27" s="1"/>
  <c r="C10" i="27" s="1"/>
  <c r="C11" i="27" s="1"/>
  <c r="C12" i="27" s="1"/>
  <c r="C7" i="28"/>
  <c r="C8" i="28" s="1"/>
  <c r="C9" i="28" s="1"/>
  <c r="C10" i="28" s="1"/>
  <c r="C11" i="28" s="1"/>
  <c r="C12" i="28" s="1"/>
  <c r="C7" i="29"/>
  <c r="C8" i="29" s="1"/>
  <c r="C9" i="29" s="1"/>
  <c r="C10" i="29" s="1"/>
  <c r="C11" i="29" s="1"/>
  <c r="C12" i="29" s="1"/>
  <c r="C7" i="30"/>
  <c r="C8" i="30" s="1"/>
  <c r="C9" i="30" s="1"/>
  <c r="C10" i="30" s="1"/>
  <c r="C11" i="30" s="1"/>
  <c r="C12" i="30" s="1"/>
  <c r="C7" i="32"/>
  <c r="C8" i="32" s="1"/>
  <c r="C9" i="32" s="1"/>
  <c r="C10" i="32" s="1"/>
  <c r="C11" i="32" s="1"/>
  <c r="C12" i="32" s="1"/>
  <c r="C7" i="31"/>
  <c r="C8" i="31" s="1"/>
  <c r="C9" i="31" s="1"/>
  <c r="C10" i="31" s="1"/>
  <c r="C11" i="31" s="1"/>
  <c r="C12" i="31" s="1"/>
  <c r="C7" i="33"/>
  <c r="C8" i="33" s="1"/>
  <c r="C9" i="33" s="1"/>
  <c r="C10" i="33" s="1"/>
  <c r="C11" i="33" s="1"/>
  <c r="C12" i="33" s="1"/>
  <c r="C16" i="33" s="1"/>
  <c r="C7" i="34"/>
  <c r="C8" i="34" s="1"/>
  <c r="C9" i="34" s="1"/>
  <c r="C10" i="34" s="1"/>
  <c r="C11" i="34" s="1"/>
  <c r="C12" i="34" s="1"/>
  <c r="C7" i="35"/>
  <c r="C8" i="35" s="1"/>
  <c r="C9" i="35" s="1"/>
  <c r="C10" i="35" s="1"/>
  <c r="C11" i="35" s="1"/>
  <c r="C12" i="35" s="1"/>
  <c r="C7" i="37"/>
  <c r="C8" i="37" s="1"/>
  <c r="C9" i="37" s="1"/>
  <c r="C10" i="37" s="1"/>
  <c r="C11" i="37" s="1"/>
  <c r="C12" i="37" s="1"/>
  <c r="C16" i="37" s="1"/>
  <c r="C7" i="36"/>
  <c r="C8" i="36" s="1"/>
  <c r="C9" i="36" s="1"/>
  <c r="C10" i="36" s="1"/>
  <c r="C11" i="36" s="1"/>
  <c r="C12" i="36" s="1"/>
  <c r="T45" i="2" l="1"/>
  <c r="AB45" i="2"/>
  <c r="AJ45" i="2"/>
  <c r="AR45" i="2"/>
  <c r="AZ45" i="2"/>
  <c r="BH45" i="2"/>
  <c r="R45" i="2"/>
  <c r="P45" i="2"/>
  <c r="X45" i="2"/>
  <c r="AF45" i="2"/>
  <c r="AN45" i="2"/>
  <c r="AV45" i="2"/>
  <c r="N45" i="2"/>
  <c r="V45" i="2"/>
  <c r="AD45" i="2"/>
  <c r="AL45" i="2"/>
  <c r="AT45" i="2"/>
  <c r="BB45" i="2"/>
  <c r="BN35" i="2"/>
  <c r="BN34" i="2" s="1"/>
  <c r="BJ45" i="2"/>
  <c r="BN32" i="2"/>
  <c r="BN31" i="2" s="1"/>
  <c r="BD45" i="2"/>
  <c r="BL45" i="2"/>
  <c r="Z45" i="2"/>
  <c r="AH45" i="2"/>
  <c r="AP45" i="2"/>
  <c r="AX45" i="2"/>
  <c r="BF45" i="2"/>
  <c r="C16" i="17"/>
  <c r="C13" i="17"/>
  <c r="C14" i="17" s="1"/>
  <c r="C15" i="17" s="1"/>
  <c r="L45" i="2"/>
  <c r="F45" i="2"/>
  <c r="H45" i="2"/>
  <c r="J45" i="2"/>
  <c r="BN44" i="2"/>
  <c r="BN43" i="2" s="1"/>
  <c r="BN29" i="2"/>
  <c r="BN28" i="2" s="1"/>
  <c r="BN38" i="2"/>
  <c r="BN37" i="2" s="1"/>
  <c r="C16" i="25"/>
  <c r="C13" i="25"/>
  <c r="C14" i="25" s="1"/>
  <c r="C15" i="25" s="1"/>
  <c r="C13" i="30"/>
  <c r="C14" i="30" s="1"/>
  <c r="C15" i="30" s="1"/>
  <c r="C16" i="30"/>
  <c r="C16" i="35"/>
  <c r="C13" i="35"/>
  <c r="C14" i="35" s="1"/>
  <c r="C15" i="35" s="1"/>
  <c r="C13" i="27"/>
  <c r="C14" i="27" s="1"/>
  <c r="C15" i="27" s="1"/>
  <c r="C16" i="27"/>
  <c r="C13" i="24"/>
  <c r="C14" i="24" s="1"/>
  <c r="C15" i="24" s="1"/>
  <c r="C16" i="24"/>
  <c r="C13" i="31"/>
  <c r="C14" i="31" s="1"/>
  <c r="C15" i="31" s="1"/>
  <c r="C16" i="31"/>
  <c r="C13" i="29"/>
  <c r="C14" i="29" s="1"/>
  <c r="C15" i="29" s="1"/>
  <c r="C16" i="29"/>
  <c r="C16" i="32"/>
  <c r="C13" i="32"/>
  <c r="C14" i="32" s="1"/>
  <c r="C15" i="32" s="1"/>
  <c r="C16" i="15"/>
  <c r="C13" i="15"/>
  <c r="C14" i="15" s="1"/>
  <c r="C15" i="15" s="1"/>
  <c r="C16" i="20"/>
  <c r="C16" i="19"/>
  <c r="C13" i="19"/>
  <c r="C14" i="19" s="1"/>
  <c r="C15" i="19" s="1"/>
  <c r="C13" i="13"/>
  <c r="C14" i="13" s="1"/>
  <c r="C15" i="13" s="1"/>
  <c r="C16" i="13"/>
  <c r="C16" i="21"/>
  <c r="C13" i="23"/>
  <c r="C14" i="23" s="1"/>
  <c r="C15" i="23" s="1"/>
  <c r="C16" i="23"/>
  <c r="C16" i="14"/>
  <c r="C13" i="26"/>
  <c r="C14" i="26" s="1"/>
  <c r="C15" i="26" s="1"/>
  <c r="C16" i="26"/>
  <c r="C13" i="10"/>
  <c r="C14" i="10" s="1"/>
  <c r="C15" i="10" s="1"/>
  <c r="C16" i="10"/>
  <c r="C16" i="11"/>
  <c r="C13" i="11"/>
  <c r="C14" i="11" s="1"/>
  <c r="C15" i="11" s="1"/>
  <c r="C13" i="33"/>
  <c r="C14" i="33" s="1"/>
  <c r="C15" i="33" s="1"/>
  <c r="C16" i="16"/>
  <c r="C13" i="9"/>
  <c r="C14" i="9" s="1"/>
  <c r="C15" i="9" s="1"/>
  <c r="C16" i="9"/>
  <c r="C16" i="8"/>
  <c r="C13" i="8"/>
  <c r="C14" i="8" s="1"/>
  <c r="C15" i="8" s="1"/>
  <c r="C13" i="37"/>
  <c r="C14" i="37" s="1"/>
  <c r="C15" i="37" s="1"/>
  <c r="C13" i="28"/>
  <c r="C14" i="28" s="1"/>
  <c r="C15" i="28" s="1"/>
  <c r="C16" i="28"/>
  <c r="C16" i="34"/>
  <c r="C13" i="34"/>
  <c r="C14" i="34" s="1"/>
  <c r="C15" i="34" s="1"/>
  <c r="C16" i="18"/>
  <c r="C13" i="18"/>
  <c r="C14" i="18" s="1"/>
  <c r="C15" i="18" s="1"/>
  <c r="C13" i="12"/>
  <c r="C14" i="12" s="1"/>
  <c r="C15" i="12" s="1"/>
  <c r="C16" i="12"/>
  <c r="C16" i="7"/>
  <c r="C13" i="7"/>
  <c r="C14" i="7" s="1"/>
  <c r="C15" i="7" s="1"/>
  <c r="C13" i="36"/>
  <c r="C14" i="36" s="1"/>
  <c r="C15" i="36" s="1"/>
  <c r="C16" i="36"/>
  <c r="AA7" i="35"/>
  <c r="AA7" i="34"/>
  <c r="AA7" i="33"/>
  <c r="AA7" i="31"/>
  <c r="AA7" i="32"/>
  <c r="AA7" i="30"/>
  <c r="AA7" i="29"/>
  <c r="AA7" i="28"/>
  <c r="AA7" i="27"/>
  <c r="AA7" i="26"/>
  <c r="AA7" i="25"/>
  <c r="AA7" i="24"/>
  <c r="AA7" i="23"/>
  <c r="AA7" i="21"/>
  <c r="AA7" i="20"/>
  <c r="AA7" i="19"/>
  <c r="AA7" i="18"/>
  <c r="AA7" i="17"/>
  <c r="AA7" i="16"/>
  <c r="AA7" i="15"/>
  <c r="AA7" i="14"/>
  <c r="AA7" i="13"/>
  <c r="AA7" i="12"/>
  <c r="AA7" i="11"/>
  <c r="AA7" i="10"/>
  <c r="AA7" i="9"/>
  <c r="AA7" i="8"/>
  <c r="AA7" i="7"/>
  <c r="AA8" i="14" l="1"/>
  <c r="AA9" i="14" s="1"/>
  <c r="AA8" i="11"/>
  <c r="AA9" i="11" s="1"/>
  <c r="AA8" i="35"/>
  <c r="AA8" i="34"/>
  <c r="AA8" i="33"/>
  <c r="AA8" i="31"/>
  <c r="AA8" i="32"/>
  <c r="AA8" i="30"/>
  <c r="AA8" i="29"/>
  <c r="AA8" i="28"/>
  <c r="AA8" i="27"/>
  <c r="AA8" i="26"/>
  <c r="AA8" i="25"/>
  <c r="AA8" i="24"/>
  <c r="AA8" i="23"/>
  <c r="AA8" i="21"/>
  <c r="AA8" i="20"/>
  <c r="AA8" i="19"/>
  <c r="AA8" i="18"/>
  <c r="AA8" i="17"/>
  <c r="AA8" i="16"/>
  <c r="AA8" i="15"/>
  <c r="AA8" i="13"/>
  <c r="AA8" i="12"/>
  <c r="AA8" i="10"/>
  <c r="AA8" i="9"/>
  <c r="AA8" i="8"/>
  <c r="AA8" i="7"/>
  <c r="AA7" i="37"/>
  <c r="AA7" i="36"/>
  <c r="C7" i="1"/>
  <c r="C8" i="1" s="1"/>
  <c r="C9" i="1" s="1"/>
  <c r="C10" i="1" s="1"/>
  <c r="C11" i="1" s="1"/>
  <c r="C12" i="1" s="1"/>
  <c r="AA7" i="1"/>
  <c r="AA8" i="1" s="1"/>
  <c r="C16" i="1" l="1"/>
  <c r="C13" i="1"/>
  <c r="C14" i="1" s="1"/>
  <c r="C15" i="1" s="1"/>
  <c r="AA9" i="35"/>
  <c r="AA9" i="34"/>
  <c r="AA9" i="33"/>
  <c r="AA9" i="31"/>
  <c r="AA9" i="32"/>
  <c r="AA9" i="30"/>
  <c r="AA9" i="29"/>
  <c r="AA9" i="28"/>
  <c r="AA9" i="27"/>
  <c r="AA9" i="26"/>
  <c r="AA9" i="25"/>
  <c r="AA9" i="24"/>
  <c r="AA9" i="23"/>
  <c r="AA9" i="21"/>
  <c r="AA9" i="20"/>
  <c r="AA9" i="19"/>
  <c r="AA9" i="18"/>
  <c r="AA9" i="17"/>
  <c r="AA9" i="16"/>
  <c r="AA9" i="15"/>
  <c r="AA10" i="14"/>
  <c r="AA9" i="13"/>
  <c r="AA9" i="12"/>
  <c r="AA10" i="11"/>
  <c r="AA9" i="10"/>
  <c r="AA9" i="9"/>
  <c r="AA9" i="8"/>
  <c r="AA9" i="7"/>
  <c r="AA8" i="37"/>
  <c r="AA8" i="36"/>
  <c r="AA9" i="1"/>
  <c r="AA10" i="35" l="1"/>
  <c r="AA10" i="34"/>
  <c r="AA10" i="33"/>
  <c r="AA10" i="31"/>
  <c r="AA10" i="32"/>
  <c r="AA10" i="30"/>
  <c r="AA10" i="29"/>
  <c r="AA10" i="28"/>
  <c r="AA10" i="27"/>
  <c r="AA10" i="26"/>
  <c r="AA10" i="25"/>
  <c r="AA10" i="24"/>
  <c r="AA10" i="23"/>
  <c r="AA10" i="21"/>
  <c r="AA10" i="20"/>
  <c r="AA10" i="19"/>
  <c r="AA10" i="18"/>
  <c r="AA10" i="17"/>
  <c r="AA10" i="16"/>
  <c r="AA10" i="15"/>
  <c r="AA11" i="14"/>
  <c r="AA10" i="13"/>
  <c r="AA10" i="12"/>
  <c r="AA11" i="11"/>
  <c r="AA10" i="10"/>
  <c r="AA10" i="9"/>
  <c r="AA10" i="8"/>
  <c r="AA10" i="7"/>
  <c r="AA9" i="37"/>
  <c r="AA9" i="36"/>
  <c r="AA10" i="1"/>
  <c r="AA12" i="11" l="1"/>
  <c r="AA12" i="14"/>
  <c r="AA11" i="35"/>
  <c r="AA11" i="34"/>
  <c r="AA11" i="33"/>
  <c r="AA11" i="31"/>
  <c r="AA11" i="32"/>
  <c r="AA11" i="30"/>
  <c r="AA11" i="29"/>
  <c r="AA11" i="28"/>
  <c r="AA11" i="27"/>
  <c r="AA11" i="26"/>
  <c r="AA11" i="25"/>
  <c r="AA11" i="24"/>
  <c r="AA11" i="23"/>
  <c r="AA11" i="21"/>
  <c r="AA11" i="20"/>
  <c r="AA11" i="19"/>
  <c r="AA11" i="18"/>
  <c r="AA11" i="17"/>
  <c r="AA11" i="16"/>
  <c r="AA11" i="15"/>
  <c r="AA11" i="13"/>
  <c r="AA11" i="12"/>
  <c r="AA11" i="10"/>
  <c r="AA11" i="9"/>
  <c r="AA11" i="8"/>
  <c r="AA11" i="7"/>
  <c r="AA10" i="37"/>
  <c r="AA10" i="36"/>
  <c r="AA11" i="1"/>
  <c r="AA12" i="1" l="1"/>
  <c r="AA12" i="32"/>
  <c r="AA12" i="18"/>
  <c r="AA12" i="23"/>
  <c r="AA12" i="27"/>
  <c r="AA12" i="35"/>
  <c r="AA12" i="10"/>
  <c r="AA12" i="15"/>
  <c r="AA12" i="31"/>
  <c r="AA12" i="19"/>
  <c r="AA12" i="24"/>
  <c r="AA12" i="28"/>
  <c r="AA13" i="14"/>
  <c r="AA12" i="7"/>
  <c r="AA13" i="11"/>
  <c r="AA12" i="20"/>
  <c r="AA12" i="25"/>
  <c r="AA12" i="29"/>
  <c r="AA12" i="33"/>
  <c r="AA12" i="8"/>
  <c r="AA12" i="12"/>
  <c r="AA12" i="17"/>
  <c r="AA12" i="30"/>
  <c r="AA12" i="16"/>
  <c r="AA12" i="21"/>
  <c r="AA12" i="26"/>
  <c r="AA12" i="34"/>
  <c r="AA12" i="9"/>
  <c r="AA12" i="13"/>
  <c r="AA11" i="37"/>
  <c r="AA11" i="36"/>
  <c r="AA13" i="1" l="1"/>
  <c r="AA13" i="10"/>
  <c r="AA13" i="29"/>
  <c r="AA13" i="35"/>
  <c r="AA13" i="13"/>
  <c r="AA13" i="25"/>
  <c r="AA13" i="27"/>
  <c r="AA13" i="9"/>
  <c r="AA13" i="20"/>
  <c r="AA13" i="23"/>
  <c r="AA13" i="34"/>
  <c r="AA14" i="11"/>
  <c r="AA13" i="18"/>
  <c r="AA12" i="37"/>
  <c r="AA13" i="26"/>
  <c r="AA13" i="7"/>
  <c r="AA13" i="32"/>
  <c r="AA13" i="16"/>
  <c r="AA13" i="28"/>
  <c r="AA13" i="30"/>
  <c r="AA13" i="24"/>
  <c r="AA13" i="17"/>
  <c r="AA13" i="19"/>
  <c r="AA13" i="33"/>
  <c r="AA13" i="21"/>
  <c r="AA14" i="14"/>
  <c r="AA13" i="12"/>
  <c r="AA13" i="31"/>
  <c r="AA13" i="8"/>
  <c r="AA13" i="15"/>
  <c r="AA12" i="36"/>
  <c r="AA16" i="35"/>
  <c r="AA16" i="34"/>
  <c r="AA16" i="33"/>
  <c r="AA14" i="1" l="1"/>
  <c r="AA14" i="21"/>
  <c r="AA14" i="18"/>
  <c r="AA14" i="28"/>
  <c r="AA14" i="27"/>
  <c r="AA14" i="15"/>
  <c r="AA14" i="16"/>
  <c r="AA14" i="25"/>
  <c r="AA14" i="8"/>
  <c r="AA14" i="32"/>
  <c r="AA14" i="13"/>
  <c r="AA14" i="31"/>
  <c r="AA14" i="7"/>
  <c r="AA14" i="35"/>
  <c r="AA14" i="12"/>
  <c r="AA14" i="26"/>
  <c r="AA14" i="29"/>
  <c r="AA15" i="14"/>
  <c r="AA13" i="37"/>
  <c r="AA14" i="10"/>
  <c r="AA14" i="33"/>
  <c r="AA15" i="11"/>
  <c r="AA14" i="19"/>
  <c r="AA14" i="34"/>
  <c r="AA14" i="17"/>
  <c r="AA14" i="23"/>
  <c r="AA14" i="24"/>
  <c r="AA14" i="20"/>
  <c r="AA14" i="30"/>
  <c r="AA14" i="9"/>
  <c r="AA13" i="36"/>
  <c r="AA17" i="35"/>
  <c r="AA17" i="34"/>
  <c r="AA17" i="33"/>
  <c r="AA15" i="1" l="1"/>
  <c r="AA15" i="20"/>
  <c r="AA15" i="29"/>
  <c r="AA15" i="27"/>
  <c r="AA15" i="26"/>
  <c r="AA15" i="28"/>
  <c r="AA15" i="23"/>
  <c r="AA15" i="12"/>
  <c r="AA15" i="18"/>
  <c r="AA15" i="17"/>
  <c r="AA15" i="35"/>
  <c r="AA15" i="15"/>
  <c r="AA16" i="14"/>
  <c r="AA15" i="24"/>
  <c r="AA15" i="34"/>
  <c r="AA15" i="7"/>
  <c r="AA15" i="21"/>
  <c r="AA15" i="19"/>
  <c r="AA15" i="31"/>
  <c r="AA15" i="13"/>
  <c r="AA16" i="11"/>
  <c r="AA15" i="32"/>
  <c r="AA15" i="33"/>
  <c r="AA15" i="8"/>
  <c r="AA15" i="9"/>
  <c r="AA15" i="10"/>
  <c r="AA15" i="25"/>
  <c r="AA15" i="30"/>
  <c r="AA14" i="37"/>
  <c r="AA15" i="16"/>
  <c r="AA14" i="36"/>
  <c r="AA16" i="1" l="1"/>
  <c r="AA16" i="24"/>
  <c r="AA16" i="23"/>
  <c r="AA16" i="8"/>
  <c r="AA16" i="31"/>
  <c r="AA16" i="21"/>
  <c r="AA16" i="19"/>
  <c r="AA16" i="7"/>
  <c r="AA16" i="17"/>
  <c r="AA17" i="14"/>
  <c r="AA16" i="28"/>
  <c r="AA16" i="15"/>
  <c r="AA16" i="26"/>
  <c r="AA16" i="16"/>
  <c r="AA15" i="37"/>
  <c r="AA16" i="25"/>
  <c r="AA16" i="32"/>
  <c r="AA16" i="30"/>
  <c r="AA16" i="10"/>
  <c r="AA17" i="11"/>
  <c r="AA16" i="9"/>
  <c r="AA16" i="18"/>
  <c r="AA16" i="27"/>
  <c r="AA16" i="12"/>
  <c r="AA16" i="29"/>
  <c r="AA16" i="20"/>
  <c r="AA16" i="13"/>
  <c r="AA15" i="36"/>
  <c r="AA17" i="1" l="1"/>
  <c r="AA17" i="29"/>
  <c r="AA17" i="12"/>
  <c r="AA17" i="27"/>
  <c r="AA17" i="32"/>
  <c r="AA17" i="23"/>
  <c r="AA17" i="18"/>
  <c r="AA17" i="25"/>
  <c r="AA17" i="26"/>
  <c r="AA17" i="24"/>
  <c r="AA17" i="9"/>
  <c r="AA17" i="10"/>
  <c r="AA16" i="37"/>
  <c r="AA17" i="15"/>
  <c r="AA17" i="21"/>
  <c r="AA17" i="30"/>
  <c r="AA17" i="28"/>
  <c r="AA17" i="31"/>
  <c r="AA17" i="8"/>
  <c r="AA17" i="17"/>
  <c r="AA17" i="7"/>
  <c r="AA17" i="13"/>
  <c r="AA17" i="16"/>
  <c r="AA17" i="19"/>
  <c r="AA17" i="20"/>
  <c r="AA16" i="36"/>
  <c r="AA17" i="37" l="1"/>
  <c r="AA17" i="36"/>
  <c r="D45" i="2" l="1"/>
  <c r="D48" i="2"/>
  <c r="E7" i="20" a="1"/>
  <c r="H7" i="23" a="1"/>
  <c r="E10" i="23" a="1"/>
  <c r="D11" i="30" a="1"/>
  <c r="E15" i="15" a="1"/>
  <c r="H7" i="33" a="1"/>
  <c r="I9" i="11" a="1"/>
  <c r="F17" i="31" a="1"/>
  <c r="E9" i="34" a="1"/>
  <c r="F9" i="8" a="1"/>
  <c r="H8" i="24" a="1"/>
  <c r="I10" i="29" a="1"/>
  <c r="D7" i="12" a="1"/>
  <c r="I11" i="14" a="1"/>
  <c r="H17" i="37" a="1"/>
  <c r="H16" i="15" a="1"/>
  <c r="E10" i="15" a="1"/>
  <c r="F6" i="10" a="1"/>
  <c r="I10" i="27" a="1"/>
  <c r="E13" i="29" a="1"/>
  <c r="F7" i="19" a="1"/>
  <c r="E12" i="29" a="1"/>
  <c r="D12" i="26" a="1"/>
  <c r="F16" i="32" a="1"/>
  <c r="H12" i="26" a="1"/>
  <c r="G17" i="35" a="1"/>
  <c r="D17" i="21" a="1"/>
  <c r="H9" i="16" a="1"/>
  <c r="I12" i="33" a="1"/>
  <c r="D12" i="34" a="1"/>
  <c r="G9" i="31" a="1"/>
  <c r="G16" i="25" a="1"/>
  <c r="D16" i="29" a="1"/>
  <c r="D11" i="17" a="1"/>
  <c r="G9" i="9" a="1"/>
  <c r="D10" i="27" a="1"/>
  <c r="D13" i="19" a="1"/>
  <c r="G12" i="8" a="1"/>
  <c r="H11" i="18" a="1"/>
  <c r="F14" i="24" a="1"/>
  <c r="I16" i="19" a="1"/>
  <c r="I14" i="23" a="1"/>
  <c r="D15" i="26" a="1"/>
  <c r="H12" i="24" a="1"/>
  <c r="D6" i="27" a="1"/>
  <c r="F13" i="21" a="1"/>
  <c r="D15" i="1" a="1"/>
  <c r="H9" i="30" a="1"/>
  <c r="D9" i="10" a="1"/>
  <c r="F10" i="36" a="1"/>
  <c r="F15" i="1" a="1"/>
  <c r="D11" i="34" a="1"/>
  <c r="E14" i="28" a="1"/>
  <c r="H6" i="21" a="1"/>
  <c r="F12" i="19" a="1"/>
  <c r="E9" i="33" a="1"/>
  <c r="H17" i="13" a="1"/>
  <c r="G14" i="9" a="1"/>
  <c r="F7" i="31" a="1"/>
  <c r="I8" i="11" a="1"/>
  <c r="I9" i="17" a="1"/>
  <c r="G6" i="31" a="1"/>
  <c r="E12" i="27" a="1"/>
  <c r="E12" i="12" a="1"/>
  <c r="D15" i="19" a="1"/>
  <c r="E13" i="14" a="1"/>
  <c r="F6" i="29" a="1"/>
  <c r="G15" i="19" a="1"/>
  <c r="F11" i="31" a="1"/>
  <c r="E6" i="29" a="1"/>
  <c r="I12" i="35" a="1"/>
  <c r="D10" i="15" a="1"/>
  <c r="D17" i="12" a="1"/>
  <c r="H14" i="29" a="1"/>
  <c r="H9" i="20" a="1"/>
  <c r="D13" i="16" a="1"/>
  <c r="D17" i="36" a="1"/>
  <c r="H7" i="24" a="1"/>
  <c r="H13" i="16" a="1"/>
  <c r="E16" i="12" a="1"/>
  <c r="I6" i="31" a="1"/>
  <c r="G8" i="23" a="1"/>
  <c r="H9" i="23" a="1"/>
  <c r="D17" i="35" a="1"/>
  <c r="H16" i="34" a="1"/>
  <c r="G10" i="1" a="1"/>
  <c r="E13" i="25" a="1"/>
  <c r="H13" i="10" a="1"/>
  <c r="D8" i="27" a="1"/>
  <c r="I10" i="13" a="1"/>
  <c r="E15" i="29" a="1"/>
  <c r="G17" i="30" a="1"/>
  <c r="H15" i="18" a="1"/>
  <c r="G6" i="9" a="1"/>
  <c r="D14" i="1" a="1"/>
  <c r="E11" i="13" a="1"/>
  <c r="E8" i="20" a="1"/>
  <c r="D8" i="14" a="1"/>
  <c r="G16" i="9" a="1"/>
  <c r="H9" i="28" a="1"/>
  <c r="D17" i="14" a="1"/>
  <c r="E10" i="26" a="1"/>
  <c r="I16" i="26" a="1"/>
  <c r="F16" i="26" a="1"/>
  <c r="G14" i="33" a="1"/>
  <c r="I16" i="29" a="1"/>
  <c r="G17" i="8" a="1"/>
  <c r="I12" i="17" a="1"/>
  <c r="G15" i="8" a="1"/>
  <c r="E10" i="1" a="1"/>
  <c r="F10" i="8" a="1"/>
  <c r="E13" i="30" a="1"/>
  <c r="F17" i="18" a="1"/>
  <c r="F10" i="26" a="1"/>
  <c r="I8" i="37" a="1"/>
  <c r="I12" i="13" a="1"/>
  <c r="I13" i="13" a="1"/>
  <c r="F7" i="20" a="1"/>
  <c r="I6" i="23" a="1"/>
  <c r="F6" i="21" a="1"/>
  <c r="I7" i="7" a="1"/>
  <c r="F9" i="32" a="1"/>
  <c r="D8" i="34" a="1"/>
  <c r="I13" i="35" a="1"/>
  <c r="I8" i="8" a="1"/>
  <c r="I8" i="29" a="1"/>
  <c r="G9" i="24" a="1"/>
  <c r="G16" i="30" a="1"/>
  <c r="I8" i="34" a="1"/>
  <c r="G17" i="36" a="1"/>
  <c r="G8" i="36" a="1"/>
  <c r="E6" i="15" a="1"/>
  <c r="F11" i="20" a="1"/>
  <c r="E7" i="15" a="1"/>
  <c r="H9" i="29" a="1"/>
  <c r="D12" i="14" a="1"/>
  <c r="D10" i="26" a="1"/>
  <c r="E6" i="25" a="1"/>
  <c r="D11" i="36" a="1"/>
  <c r="E17" i="35" a="1"/>
  <c r="H9" i="27" a="1"/>
  <c r="D15" i="11" a="1"/>
  <c r="H14" i="21" a="1"/>
  <c r="F15" i="27" a="1"/>
  <c r="D17" i="13" a="1"/>
  <c r="G16" i="36" a="1"/>
  <c r="F15" i="32" a="1"/>
  <c r="G6" i="23" a="1"/>
  <c r="I8" i="31" a="1"/>
  <c r="H17" i="17" a="1"/>
  <c r="G6" i="28" a="1"/>
  <c r="E10" i="13" a="1"/>
  <c r="I17" i="10" a="1"/>
  <c r="E6" i="20" a="1"/>
  <c r="G7" i="26" a="1"/>
  <c r="F9" i="23" a="1"/>
  <c r="F7" i="32" a="1"/>
  <c r="I10" i="34" a="1"/>
  <c r="D17" i="31" a="1"/>
  <c r="I9" i="30" a="1"/>
  <c r="I11" i="30" a="1"/>
  <c r="H12" i="35" a="1"/>
  <c r="E11" i="29" a="1"/>
  <c r="E12" i="33" a="1"/>
  <c r="F9" i="17" a="1"/>
  <c r="F14" i="16" a="1"/>
  <c r="I15" i="18" a="1"/>
  <c r="G17" i="27" a="1"/>
  <c r="H13" i="30" a="1"/>
  <c r="F17" i="14" a="1"/>
  <c r="D10" i="30" a="1"/>
  <c r="G11" i="18" a="1"/>
  <c r="D8" i="10" a="1"/>
  <c r="D6" i="1" a="1"/>
  <c r="I11" i="27" a="1"/>
  <c r="F15" i="21" a="1"/>
  <c r="H7" i="30" a="1"/>
  <c r="G12" i="9" a="1"/>
  <c r="H6" i="19" a="1"/>
  <c r="G11" i="17" a="1"/>
  <c r="F14" i="25" a="1"/>
  <c r="H16" i="36" a="1"/>
  <c r="F16" i="15" a="1"/>
  <c r="I13" i="27" a="1"/>
  <c r="H6" i="36" a="1"/>
  <c r="G17" i="19" a="1"/>
  <c r="D10" i="17" a="1"/>
  <c r="D6" i="7" a="1"/>
  <c r="H11" i="16" a="1"/>
  <c r="I11" i="17" a="1"/>
  <c r="E9" i="10" a="1"/>
  <c r="I11" i="37" a="1"/>
  <c r="F17" i="35" a="1"/>
  <c r="I16" i="36" a="1"/>
  <c r="H10" i="14" a="1"/>
  <c r="I16" i="23" a="1"/>
  <c r="I12" i="25" a="1"/>
  <c r="E13" i="26" a="1"/>
  <c r="H15" i="31" a="1"/>
  <c r="E14" i="18" a="1"/>
  <c r="I17" i="7" a="1"/>
  <c r="G13" i="23" a="1"/>
  <c r="D10" i="35" a="1"/>
  <c r="E6" i="19" a="1"/>
  <c r="H13" i="11" a="1"/>
  <c r="I8" i="26" a="1"/>
  <c r="G10" i="31" a="1"/>
  <c r="F11" i="29" a="1"/>
  <c r="F7" i="35" a="1"/>
  <c r="I11" i="25" a="1"/>
  <c r="G7" i="1" a="1"/>
  <c r="I15" i="19" a="1"/>
  <c r="F8" i="27" a="1"/>
  <c r="G11" i="36" a="1"/>
  <c r="I15" i="36" a="1"/>
  <c r="D9" i="9" a="1"/>
  <c r="F7" i="25" a="1"/>
  <c r="E11" i="25" a="1"/>
  <c r="I15" i="11" a="1"/>
  <c r="I13" i="32" a="1"/>
  <c r="G11" i="35" a="1"/>
  <c r="H6" i="30" a="1"/>
  <c r="E17" i="27" a="1"/>
  <c r="I16" i="37" a="1"/>
  <c r="F12" i="27" a="1"/>
  <c r="F6" i="14" a="1"/>
  <c r="F7" i="16" a="1"/>
  <c r="H13" i="32" a="1"/>
  <c r="F15" i="8" a="1"/>
  <c r="H9" i="24" a="1"/>
  <c r="I8" i="13" a="1"/>
  <c r="D15" i="32" a="1"/>
  <c r="G14" i="11" a="1"/>
  <c r="H10" i="36" a="1"/>
  <c r="F9" i="18" a="1"/>
  <c r="I9" i="37" a="1"/>
  <c r="E10" i="7" a="1"/>
  <c r="F17" i="28" a="1"/>
  <c r="G14" i="20" a="1"/>
  <c r="I15" i="27" a="1"/>
  <c r="I9" i="26" a="1"/>
  <c r="E6" i="16" a="1"/>
  <c r="E10" i="37" a="1"/>
  <c r="H15" i="29" a="1"/>
  <c r="H10" i="28" a="1"/>
  <c r="I16" i="27" a="1"/>
  <c r="H12" i="1" a="1"/>
  <c r="G8" i="32" a="1"/>
  <c r="D7" i="35" a="1"/>
  <c r="G16" i="37" a="1"/>
  <c r="E7" i="36" a="1"/>
  <c r="F8" i="1" a="1"/>
  <c r="F6" i="26" a="1"/>
  <c r="E9" i="21" a="1"/>
  <c r="G10" i="37" a="1"/>
  <c r="I11" i="29" a="1"/>
  <c r="D14" i="13" a="1"/>
  <c r="H15" i="15" a="1"/>
  <c r="E6" i="14" a="1"/>
  <c r="F11" i="26" a="1"/>
  <c r="I14" i="15" a="1"/>
  <c r="G8" i="11" a="1"/>
  <c r="I9" i="32" a="1"/>
  <c r="H14" i="31" a="1"/>
  <c r="E8" i="12" a="1"/>
  <c r="E8" i="11" a="1"/>
  <c r="H11" i="14" a="1"/>
  <c r="E8" i="14" a="1"/>
  <c r="G15" i="17" a="1"/>
  <c r="E6" i="1" a="1"/>
  <c r="F10" i="35" a="1"/>
  <c r="H15" i="8" a="1"/>
  <c r="D10" i="20" a="1"/>
  <c r="D12" i="15" a="1"/>
  <c r="F11" i="36" a="1"/>
  <c r="G17" i="34" a="1"/>
  <c r="G14" i="28" a="1"/>
  <c r="G10" i="17" a="1"/>
  <c r="I12" i="24" a="1"/>
  <c r="D17" i="30" a="1"/>
  <c r="G14" i="8" a="1"/>
  <c r="D16" i="11" a="1"/>
  <c r="F11" i="17" a="1"/>
  <c r="F10" i="11" a="1"/>
  <c r="G6" i="33" a="1"/>
  <c r="E9" i="37" a="1"/>
  <c r="H14" i="9" a="1"/>
  <c r="F17" i="1" a="1"/>
  <c r="G12" i="13" a="1"/>
  <c r="G8" i="1" a="1"/>
  <c r="I14" i="36" a="1"/>
  <c r="F8" i="21" a="1"/>
  <c r="F10" i="16" a="1"/>
  <c r="E17" i="13" a="1"/>
  <c r="G9" i="27" a="1"/>
  <c r="F8" i="16" a="1"/>
  <c r="D9" i="31" a="1"/>
  <c r="D7" i="30" a="1"/>
  <c r="I17" i="20" a="1"/>
  <c r="F10" i="13" a="1"/>
  <c r="H13" i="34" a="1"/>
  <c r="F7" i="18" a="1"/>
  <c r="D13" i="24" a="1"/>
  <c r="E12" i="17" a="1"/>
  <c r="E12" i="13" a="1"/>
  <c r="G9" i="7" a="1"/>
  <c r="H10" i="17" a="1"/>
  <c r="F14" i="37" a="1"/>
  <c r="F6" i="9" a="1"/>
  <c r="E11" i="16" a="1"/>
  <c r="F8" i="34" a="1"/>
  <c r="G15" i="18" a="1"/>
  <c r="D7" i="36" a="1"/>
  <c r="G15" i="30" a="1"/>
  <c r="G13" i="36" a="1"/>
  <c r="D11" i="21" a="1"/>
  <c r="D7" i="10" a="1"/>
  <c r="F6" i="11" a="1"/>
  <c r="G13" i="19" a="1"/>
  <c r="E9" i="25" a="1"/>
  <c r="D12" i="24" a="1"/>
  <c r="E6" i="13" a="1"/>
  <c r="D16" i="33" a="1"/>
  <c r="D11" i="29" a="1"/>
  <c r="I7" i="8" a="1"/>
  <c r="G8" i="27" a="1"/>
  <c r="F9" i="34" a="1"/>
  <c r="D17" i="1" a="1"/>
  <c r="G13" i="31" a="1"/>
  <c r="F15" i="23" a="1"/>
  <c r="D12" i="36" a="1"/>
  <c r="H16" i="13" a="1"/>
  <c r="H10" i="25" a="1"/>
  <c r="I17" i="31" a="1"/>
  <c r="G11" i="16" a="1"/>
  <c r="H15" i="23" a="1"/>
  <c r="H7" i="14" a="1"/>
  <c r="G9" i="11" a="1"/>
  <c r="F15" i="11" a="1"/>
  <c r="E12" i="37" a="1"/>
  <c r="G15" i="15" a="1"/>
  <c r="H13" i="7" a="1"/>
  <c r="E15" i="16" a="1"/>
  <c r="G16" i="15" a="1"/>
  <c r="I16" i="35" a="1"/>
  <c r="H7" i="36" a="1"/>
  <c r="E13" i="35" a="1"/>
  <c r="I17" i="33" a="1"/>
  <c r="E9" i="32" a="1"/>
  <c r="D8" i="37" a="1"/>
  <c r="I14" i="7" a="1"/>
  <c r="D10" i="32" a="1"/>
  <c r="G11" i="10" a="1"/>
  <c r="I10" i="37" a="1"/>
  <c r="G17" i="12" a="1"/>
  <c r="F15" i="16" a="1"/>
  <c r="D10" i="7" a="1"/>
  <c r="I14" i="25" a="1"/>
  <c r="D16" i="28" a="1"/>
  <c r="E12" i="10" a="1"/>
  <c r="D13" i="33" a="1"/>
  <c r="D16" i="30" a="1"/>
  <c r="H17" i="14" a="1"/>
  <c r="G11" i="8" a="1"/>
  <c r="I10" i="11" a="1"/>
  <c r="I7" i="29" a="1"/>
  <c r="G14" i="37" a="1"/>
  <c r="I12" i="31" a="1"/>
  <c r="I16" i="16" a="1"/>
  <c r="D13" i="30" a="1"/>
  <c r="F10" i="27" a="1"/>
  <c r="E16" i="20" a="1"/>
  <c r="G7" i="19" a="1"/>
  <c r="I12" i="30" a="1"/>
  <c r="G15" i="10" a="1"/>
  <c r="G12" i="7" a="1"/>
  <c r="E8" i="35" a="1"/>
  <c r="H10" i="23" a="1"/>
  <c r="E8" i="27" a="1"/>
  <c r="H10" i="31" a="1"/>
  <c r="H8" i="8" a="1"/>
  <c r="F13" i="37" a="1"/>
  <c r="H16" i="20" a="1"/>
  <c r="E8" i="29" a="1"/>
  <c r="E11" i="36" a="1"/>
  <c r="G8" i="9" a="1"/>
  <c r="D9" i="13" a="1"/>
  <c r="H14" i="23" a="1"/>
  <c r="D14" i="26" a="1"/>
  <c r="D13" i="29" a="1"/>
  <c r="D6" i="24" a="1"/>
  <c r="F17" i="16" a="1"/>
  <c r="F16" i="23" a="1"/>
  <c r="G15" i="16" a="1"/>
  <c r="H10" i="27" a="1"/>
  <c r="E17" i="19" a="1"/>
  <c r="I13" i="11" a="1"/>
  <c r="I11" i="8" a="1"/>
  <c r="H17" i="8" a="1"/>
  <c r="I17" i="18" a="1"/>
  <c r="D7" i="7" a="1"/>
  <c r="E12" i="30" a="1"/>
  <c r="D8" i="21" a="1"/>
  <c r="D17" i="25" a="1"/>
  <c r="G13" i="13" a="1"/>
  <c r="I17" i="24" a="1"/>
  <c r="I6" i="29" a="1"/>
  <c r="G12" i="10" a="1"/>
  <c r="G17" i="9" a="1"/>
  <c r="F12" i="26" a="1"/>
  <c r="D15" i="30" a="1"/>
  <c r="F7" i="17" a="1"/>
  <c r="H15" i="9" a="1"/>
  <c r="G15" i="1" a="1"/>
  <c r="H10" i="16" a="1"/>
  <c r="F16" i="8" a="1"/>
  <c r="D11" i="31" a="1"/>
  <c r="F13" i="23" a="1"/>
  <c r="G7" i="31" a="1"/>
  <c r="E8" i="25" a="1"/>
  <c r="I11" i="34" a="1"/>
  <c r="H8" i="12" a="1"/>
  <c r="E15" i="12" a="1"/>
  <c r="E14" i="20" a="1"/>
  <c r="E16" i="23" a="1"/>
  <c r="F12" i="8" a="1"/>
  <c r="F6" i="8" a="1"/>
  <c r="D17" i="18" a="1"/>
  <c r="D11" i="16" a="1"/>
  <c r="F17" i="13" a="1"/>
  <c r="I6" i="26" a="1"/>
  <c r="G11" i="29" a="1"/>
  <c r="D7" i="28" a="1"/>
  <c r="F14" i="28" a="1"/>
  <c r="F16" i="9" a="1"/>
  <c r="E13" i="19" a="1"/>
  <c r="I13" i="33" a="1"/>
  <c r="E16" i="30" a="1"/>
  <c r="G17" i="18" a="1"/>
  <c r="H13" i="12" a="1"/>
  <c r="I6" i="17" a="1"/>
  <c r="I7" i="28" a="1"/>
  <c r="F17" i="8" a="1"/>
  <c r="E13" i="13" a="1"/>
  <c r="E9" i="36" a="1"/>
  <c r="F16" i="34" a="1"/>
  <c r="I11" i="10" a="1"/>
  <c r="F15" i="13" a="1"/>
  <c r="G17" i="37" a="1"/>
  <c r="I6" i="25" a="1"/>
  <c r="H14" i="11" a="1"/>
  <c r="E16" i="16" a="1"/>
  <c r="G10" i="14" a="1"/>
  <c r="H11" i="21" a="1"/>
  <c r="I13" i="8" a="1"/>
  <c r="D12" i="7" a="1"/>
  <c r="E7" i="12" a="1"/>
  <c r="F10" i="29" a="1"/>
  <c r="E8" i="13" a="1"/>
  <c r="F7" i="30" a="1"/>
  <c r="I12" i="36" a="1"/>
  <c r="E16" i="34" a="1"/>
  <c r="H16" i="32" a="1"/>
  <c r="H6" i="35" a="1"/>
  <c r="F12" i="20" a="1"/>
  <c r="E14" i="26" a="1"/>
  <c r="G15" i="21" a="1"/>
  <c r="H17" i="32" a="1"/>
  <c r="F16" i="13" a="1"/>
  <c r="E12" i="34" a="1"/>
  <c r="G17" i="15" a="1"/>
  <c r="H9" i="31" a="1"/>
  <c r="E10" i="9" a="1"/>
  <c r="I7" i="1" a="1"/>
  <c r="G10" i="30" a="1"/>
  <c r="D10" i="16" a="1"/>
  <c r="E7" i="34" a="1"/>
  <c r="H15" i="12" a="1"/>
  <c r="I6" i="15" a="1"/>
  <c r="E14" i="10" a="1"/>
  <c r="G11" i="11" a="1"/>
  <c r="H6" i="12" a="1"/>
  <c r="G15" i="29" a="1"/>
  <c r="F9" i="27" a="1"/>
  <c r="F14" i="27" a="1"/>
  <c r="H6" i="20" a="1"/>
  <c r="G13" i="16" a="1"/>
  <c r="D17" i="34" a="1"/>
  <c r="I17" i="19" a="1"/>
  <c r="H17" i="29" a="1"/>
  <c r="G14" i="25" a="1"/>
  <c r="D16" i="18" a="1"/>
  <c r="H10" i="13" a="1"/>
  <c r="G13" i="29" a="1"/>
  <c r="I7" i="27" a="1"/>
  <c r="H16" i="24" a="1"/>
  <c r="E7" i="8" a="1"/>
  <c r="I6" i="12" a="1"/>
  <c r="D17" i="10" a="1"/>
  <c r="H6" i="33" a="1"/>
  <c r="F15" i="33" a="1"/>
  <c r="I7" i="37" a="1"/>
  <c r="H9" i="17" a="1"/>
  <c r="G14" i="34" a="1"/>
  <c r="E8" i="30" a="1"/>
  <c r="D9" i="25" a="1"/>
  <c r="F8" i="17" a="1"/>
  <c r="D11" i="8" a="1"/>
  <c r="H15" i="1" a="1"/>
  <c r="H6" i="14" a="1"/>
  <c r="D6" i="19" a="1"/>
  <c r="H15" i="30" a="1"/>
  <c r="E14" i="17" a="1"/>
  <c r="D11" i="11" a="1"/>
  <c r="G13" i="17" a="1"/>
  <c r="E10" i="24" a="1"/>
  <c r="I6" i="20" a="1"/>
  <c r="I11" i="21" a="1"/>
  <c r="I13" i="37" a="1"/>
  <c r="H12" i="23" a="1"/>
  <c r="I15" i="10" a="1"/>
  <c r="D8" i="19" a="1"/>
  <c r="D12" i="30" a="1"/>
  <c r="I16" i="18" a="1"/>
  <c r="E9" i="17" a="1"/>
  <c r="D13" i="21" a="1"/>
  <c r="G16" i="19" a="1"/>
  <c r="H17" i="1" a="1"/>
  <c r="H7" i="10" a="1"/>
  <c r="I16" i="28" a="1"/>
  <c r="D15" i="33" a="1"/>
  <c r="I12" i="37" a="1"/>
  <c r="G8" i="31" a="1"/>
  <c r="D8" i="31" a="1"/>
  <c r="E13" i="17" a="1"/>
  <c r="I11" i="35" a="1"/>
  <c r="D14" i="34" a="1"/>
  <c r="D12" i="21" a="1"/>
  <c r="H7" i="18" a="1"/>
  <c r="D14" i="28" a="1"/>
  <c r="G9" i="21" a="1"/>
  <c r="E11" i="32" a="1"/>
  <c r="E7" i="35" a="1"/>
  <c r="F16" i="37" a="1"/>
  <c r="I16" i="12" a="1"/>
  <c r="E15" i="26" a="1"/>
  <c r="E16" i="24" a="1"/>
  <c r="F9" i="11" a="1"/>
  <c r="E7" i="23" a="1"/>
  <c r="F9" i="14" a="1"/>
  <c r="D13" i="32" a="1"/>
  <c r="I10" i="20" a="1"/>
  <c r="F14" i="9" a="1"/>
  <c r="D13" i="10" a="1"/>
  <c r="F14" i="8" a="1"/>
  <c r="E8" i="1" a="1"/>
  <c r="E12" i="19" a="1"/>
  <c r="E7" i="18" a="1"/>
  <c r="D6" i="32" a="1"/>
  <c r="E16" i="8" a="1"/>
  <c r="G17" i="14" a="1"/>
  <c r="E16" i="11" a="1"/>
  <c r="H14" i="24" a="1"/>
  <c r="F12" i="37" a="1"/>
  <c r="G8" i="29" a="1"/>
  <c r="G16" i="10" a="1"/>
  <c r="I11" i="11" a="1"/>
  <c r="G9" i="35" a="1"/>
  <c r="H17" i="27" a="1"/>
  <c r="H9" i="7" a="1"/>
  <c r="E6" i="21" a="1"/>
  <c r="I12" i="28" a="1"/>
  <c r="F14" i="20" a="1"/>
  <c r="D9" i="8" a="1"/>
  <c r="G16" i="8" a="1"/>
  <c r="I9" i="35" a="1"/>
  <c r="F17" i="23" a="1"/>
  <c r="I14" i="30" a="1"/>
  <c r="D8" i="26" a="1"/>
  <c r="I9" i="18" a="1"/>
  <c r="H7" i="26" a="1"/>
  <c r="D11" i="1" a="1"/>
  <c r="F15" i="9" a="1"/>
  <c r="H9" i="15" a="1"/>
  <c r="G7" i="33" a="1"/>
  <c r="D12" i="8" a="1"/>
  <c r="G11" i="33" a="1"/>
  <c r="D15" i="35" a="1"/>
  <c r="G11" i="20" a="1"/>
  <c r="D15" i="23" a="1"/>
  <c r="I10" i="26" a="1"/>
  <c r="D15" i="29" a="1"/>
  <c r="E12" i="32" a="1"/>
  <c r="G7" i="15" a="1"/>
  <c r="F8" i="9" a="1"/>
  <c r="F11" i="30" a="1"/>
  <c r="G6" i="29" a="1"/>
  <c r="E15" i="9" a="1"/>
  <c r="E15" i="10" a="1"/>
  <c r="F10" i="24" a="1"/>
  <c r="D6" i="25" a="1"/>
  <c r="G15" i="7" a="1"/>
  <c r="D9" i="34" a="1"/>
  <c r="E9" i="19" a="1"/>
  <c r="F13" i="27" a="1"/>
  <c r="G11" i="25" a="1"/>
  <c r="D10" i="10" a="1"/>
  <c r="F13" i="28" a="1"/>
  <c r="F16" i="11" a="1"/>
  <c r="G17" i="23" a="1"/>
  <c r="I14" i="37" a="1"/>
  <c r="D12" i="23" a="1"/>
  <c r="G12" i="34" a="1"/>
  <c r="F11" i="15" a="1"/>
  <c r="D6" i="21" a="1"/>
  <c r="E11" i="15" a="1"/>
  <c r="G6" i="36" a="1"/>
  <c r="H12" i="19" a="1"/>
  <c r="G8" i="30" a="1"/>
  <c r="G12" i="19" a="1"/>
  <c r="F16" i="17" a="1"/>
  <c r="H7" i="31" a="1"/>
  <c r="G12" i="1" a="1"/>
  <c r="D7" i="19" a="1"/>
  <c r="G7" i="21" a="1"/>
  <c r="I8" i="33" a="1"/>
  <c r="H14" i="35" a="1"/>
  <c r="G14" i="1" a="1"/>
  <c r="D9" i="37" a="1"/>
  <c r="I9" i="34" a="1"/>
  <c r="E8" i="23" a="1"/>
  <c r="D6" i="23" a="1"/>
  <c r="E10" i="30" a="1"/>
  <c r="E10" i="32" a="1"/>
  <c r="I15" i="17" a="1"/>
  <c r="G15" i="31" a="1"/>
  <c r="I6" i="36" a="1"/>
  <c r="H13" i="20" a="1"/>
  <c r="I10" i="33" a="1"/>
  <c r="H8" i="25" a="1"/>
  <c r="F11" i="10" a="1"/>
  <c r="I7" i="31" a="1"/>
  <c r="H14" i="37" a="1"/>
  <c r="E12" i="18" a="1"/>
  <c r="I15" i="13" a="1"/>
  <c r="F7" i="36" a="1"/>
  <c r="G13" i="14" a="1"/>
  <c r="E11" i="26" a="1"/>
  <c r="H17" i="19" a="1"/>
  <c r="D13" i="7" a="1"/>
  <c r="I14" i="27" a="1"/>
  <c r="I6" i="24" a="1"/>
  <c r="F7" i="10" a="1"/>
  <c r="H8" i="21" a="1"/>
  <c r="E9" i="15" a="1"/>
  <c r="F12" i="36" a="1"/>
  <c r="E11" i="33" a="1"/>
  <c r="G9" i="19" a="1"/>
  <c r="E6" i="11" a="1"/>
  <c r="H6" i="8" a="1"/>
  <c r="E6" i="34" a="1"/>
  <c r="H8" i="34" a="1"/>
  <c r="I8" i="1" a="1"/>
  <c r="E17" i="24" a="1"/>
  <c r="E7" i="25" a="1"/>
  <c r="G7" i="8" a="1"/>
  <c r="F6" i="19" a="1"/>
  <c r="D9" i="11" a="1"/>
  <c r="D14" i="19" a="1"/>
  <c r="I17" i="21" a="1"/>
  <c r="D11" i="26" a="1"/>
  <c r="H16" i="29" a="1"/>
  <c r="H17" i="33" a="1"/>
  <c r="D13" i="18" a="1"/>
  <c r="I15" i="34" a="1"/>
  <c r="F6" i="32" a="1"/>
  <c r="G9" i="17" a="1"/>
  <c r="E14" i="11" a="1"/>
  <c r="F9" i="12" a="1"/>
  <c r="D12" i="32" a="1"/>
  <c r="G13" i="11" a="1"/>
  <c r="D10" i="28" a="1"/>
  <c r="F8" i="25" a="1"/>
  <c r="D9" i="27" a="1"/>
  <c r="F13" i="31" a="1"/>
  <c r="F17" i="34" a="1"/>
  <c r="I13" i="30" a="1"/>
  <c r="I16" i="21" a="1"/>
  <c r="H6" i="31" a="1"/>
  <c r="G15" i="13" a="1"/>
  <c r="I13" i="14" a="1"/>
  <c r="D6" i="30" a="1"/>
  <c r="D8" i="11" a="1"/>
  <c r="F12" i="23" a="1"/>
  <c r="E11" i="9" a="1"/>
  <c r="F17" i="21" a="1"/>
  <c r="G6" i="30" a="1"/>
  <c r="F12" i="31" a="1"/>
  <c r="H11" i="11" a="1"/>
  <c r="I11" i="20" a="1"/>
  <c r="E13" i="10" a="1"/>
  <c r="F10" i="17" a="1"/>
  <c r="H6" i="24" a="1"/>
  <c r="H14" i="28" a="1"/>
  <c r="G8" i="19" a="1"/>
  <c r="I12" i="9" a="1"/>
  <c r="D8" i="35" a="1"/>
  <c r="D9" i="28" a="1"/>
  <c r="F12" i="32" a="1"/>
  <c r="D13" i="23" a="1"/>
  <c r="G8" i="28" a="1"/>
  <c r="I8" i="14" a="1"/>
  <c r="H13" i="35" a="1"/>
  <c r="E13" i="24" a="1"/>
  <c r="G16" i="14" a="1"/>
  <c r="F14" i="7" a="1"/>
  <c r="E17" i="26" a="1"/>
  <c r="I14" i="20" a="1"/>
  <c r="I15" i="7" a="1"/>
  <c r="G13" i="32" a="1"/>
  <c r="F13" i="29" a="1"/>
  <c r="D9" i="1" a="1"/>
  <c r="D16" i="21" a="1"/>
  <c r="F11" i="1" a="1"/>
  <c r="G6" i="25" a="1"/>
  <c r="E14" i="13" a="1"/>
  <c r="I12" i="20" a="1"/>
  <c r="D6" i="28" a="1"/>
  <c r="D13" i="31" a="1"/>
  <c r="H12" i="27" a="1"/>
  <c r="E14" i="1" a="1"/>
  <c r="E9" i="1" a="1"/>
  <c r="F15" i="29" a="1"/>
  <c r="E6" i="9" a="1"/>
  <c r="G16" i="1" a="1"/>
  <c r="H8" i="15" a="1"/>
  <c r="F13" i="25" a="1"/>
  <c r="I10" i="19" a="1"/>
  <c r="I6" i="19" a="1"/>
  <c r="G6" i="14" a="1"/>
  <c r="E6" i="23" a="1"/>
  <c r="E8" i="33" a="1"/>
  <c r="I13" i="26" a="1"/>
  <c r="E10" i="33" a="1"/>
  <c r="G10" i="15" a="1"/>
  <c r="G12" i="16" a="1"/>
  <c r="D15" i="31" a="1"/>
  <c r="I10" i="17" a="1"/>
  <c r="E11" i="28" a="1"/>
  <c r="I6" i="30" a="1"/>
  <c r="H8" i="18" a="1"/>
  <c r="F11" i="25" a="1"/>
  <c r="F14" i="13" a="1"/>
  <c r="E6" i="37" a="1"/>
  <c r="H6" i="7" a="1"/>
  <c r="D16" i="24" a="1"/>
  <c r="I7" i="24" a="1"/>
  <c r="H17" i="23" a="1"/>
  <c r="G17" i="17" a="1"/>
  <c r="H11" i="9" a="1"/>
  <c r="G13" i="34" a="1"/>
  <c r="H15" i="33" a="1"/>
  <c r="G12" i="27" a="1"/>
  <c r="E9" i="12" a="1"/>
  <c r="F8" i="20" a="1"/>
  <c r="D16" i="36" a="1"/>
  <c r="I11" i="33" a="1"/>
  <c r="H14" i="32" a="1"/>
  <c r="I7" i="9" a="1"/>
  <c r="I7" i="20" a="1"/>
  <c r="F8" i="14" a="1"/>
  <c r="E10" i="14" a="1"/>
  <c r="F16" i="14" a="1"/>
  <c r="H13" i="19" a="1"/>
  <c r="E8" i="36" a="1"/>
  <c r="H11" i="12" a="1"/>
  <c r="G14" i="35" a="1"/>
  <c r="D17" i="7" a="1"/>
  <c r="G10" i="29" a="1"/>
  <c r="H17" i="18" a="1"/>
  <c r="E17" i="36" a="1"/>
  <c r="E8" i="21" a="1"/>
  <c r="D16" i="25" a="1"/>
  <c r="H11" i="29" a="1"/>
  <c r="H8" i="14" a="1"/>
  <c r="H7" i="35" a="1"/>
  <c r="H8" i="29" a="1"/>
  <c r="G6" i="21" a="1"/>
  <c r="D6" i="10" a="1"/>
  <c r="I16" i="11" a="1"/>
  <c r="F13" i="18" a="1"/>
  <c r="I17" i="15" a="1"/>
  <c r="H15" i="19" a="1"/>
  <c r="G10" i="10" a="1"/>
  <c r="I14" i="12" a="1"/>
  <c r="F7" i="14" a="1"/>
  <c r="G8" i="16" a="1"/>
  <c r="G12" i="35" a="1"/>
  <c r="E7" i="17" a="1"/>
  <c r="G6" i="26" a="1"/>
  <c r="H13" i="24" a="1"/>
  <c r="H12" i="33" a="1"/>
  <c r="I8" i="9" a="1"/>
  <c r="F14" i="26" a="1"/>
  <c r="E17" i="15" a="1"/>
  <c r="F9" i="9" a="1"/>
  <c r="F12" i="29" a="1"/>
  <c r="E7" i="21" a="1"/>
  <c r="G13" i="1" a="1"/>
  <c r="D11" i="18" a="1"/>
  <c r="I10" i="35" a="1"/>
  <c r="G10" i="32" a="1"/>
  <c r="G15" i="27" a="1"/>
  <c r="I16" i="24" a="1"/>
  <c r="H16" i="11" a="1"/>
  <c r="H9" i="19" a="1"/>
  <c r="D14" i="18" a="1"/>
  <c r="H16" i="10" a="1"/>
  <c r="G14" i="32" a="1"/>
  <c r="H15" i="32" a="1"/>
  <c r="G8" i="14" a="1"/>
  <c r="E13" i="34" a="1"/>
  <c r="E17" i="7" a="1"/>
  <c r="E8" i="32" a="1"/>
  <c r="D6" i="26" a="1"/>
  <c r="D8" i="25" a="1"/>
  <c r="E7" i="10" a="1"/>
  <c r="G17" i="7" a="1"/>
  <c r="E17" i="32" a="1"/>
  <c r="H6" i="34" a="1"/>
  <c r="G14" i="26" a="1"/>
  <c r="F9" i="13" a="1"/>
  <c r="H16" i="28" a="1"/>
  <c r="H7" i="15" a="1"/>
  <c r="D15" i="13" a="1"/>
  <c r="H6" i="32" a="1"/>
  <c r="E14" i="8" a="1"/>
  <c r="I7" i="26" a="1"/>
  <c r="E6" i="30" a="1"/>
  <c r="H14" i="34" a="1"/>
  <c r="E9" i="30" a="1"/>
  <c r="I17" i="11" a="1"/>
  <c r="F9" i="19" a="1"/>
  <c r="F15" i="10" a="1"/>
  <c r="D15" i="14" a="1"/>
  <c r="E14" i="19" a="1"/>
  <c r="E9" i="31" a="1"/>
  <c r="E17" i="14" a="1"/>
  <c r="I10" i="23" a="1"/>
  <c r="H12" i="8" a="1"/>
  <c r="E13" i="11" a="1"/>
  <c r="G7" i="11" a="1"/>
  <c r="F7" i="37" a="1"/>
  <c r="E17" i="11" a="1"/>
  <c r="I7" i="18" a="1"/>
  <c r="I8" i="17" a="1"/>
  <c r="E16" i="27" a="1"/>
  <c r="E14" i="9" a="1"/>
  <c r="D16" i="19" a="1"/>
  <c r="E10" i="29" a="1"/>
  <c r="D11" i="33" a="1"/>
  <c r="D17" i="23" a="1"/>
  <c r="H15" i="17" a="1"/>
  <c r="F10" i="25" a="1"/>
  <c r="D12" i="11" a="1"/>
  <c r="H7" i="19" a="1"/>
  <c r="F13" i="16" a="1"/>
  <c r="D11" i="12" a="1"/>
  <c r="G15" i="12" a="1"/>
  <c r="F11" i="16" a="1"/>
  <c r="G8" i="13" a="1"/>
  <c r="D17" i="9" a="1"/>
  <c r="G17" i="26" a="1"/>
  <c r="D17" i="28" a="1"/>
  <c r="D10" i="29" a="1"/>
  <c r="F9" i="15" a="1"/>
  <c r="D14" i="20" a="1"/>
  <c r="G10" i="26" a="1"/>
  <c r="G8" i="35" a="1"/>
  <c r="I6" i="8" a="1"/>
  <c r="D11" i="14" a="1"/>
  <c r="I14" i="10" a="1"/>
  <c r="I13" i="19" a="1"/>
  <c r="H7" i="17" a="1"/>
  <c r="F17" i="19" a="1"/>
  <c r="I16" i="34" a="1"/>
  <c r="E6" i="8" a="1"/>
  <c r="D15" i="15" a="1"/>
  <c r="I16" i="30" a="1"/>
  <c r="H10" i="15" a="1"/>
  <c r="E6" i="17" a="1"/>
  <c r="G10" i="19" a="1"/>
  <c r="H6" i="18" a="1"/>
  <c r="F11" i="23" a="1"/>
  <c r="F15" i="12" a="1"/>
  <c r="F13" i="17" a="1"/>
  <c r="G15" i="35" a="1"/>
  <c r="H17" i="36" a="1"/>
  <c r="D12" i="33" a="1"/>
  <c r="F11" i="19" a="1"/>
  <c r="G15" i="32" a="1"/>
  <c r="D16" i="7" a="1"/>
  <c r="F8" i="23" a="1"/>
  <c r="D12" i="10" a="1"/>
  <c r="D14" i="31" a="1"/>
  <c r="F14" i="29" a="1"/>
  <c r="F17" i="10" a="1"/>
  <c r="D7" i="16" a="1"/>
  <c r="E7" i="26" a="1"/>
  <c r="F10" i="32" a="1"/>
  <c r="E9" i="23" a="1"/>
  <c r="I13" i="24" a="1"/>
  <c r="G11" i="37" a="1"/>
  <c r="D15" i="10" a="1"/>
  <c r="E15" i="1" a="1"/>
  <c r="G12" i="15" a="1"/>
  <c r="E9" i="11" a="1"/>
  <c r="H14" i="7" a="1"/>
  <c r="E15" i="21" a="1"/>
  <c r="I12" i="12" a="1"/>
  <c r="I7" i="21" a="1"/>
  <c r="H16" i="21" a="1"/>
  <c r="I9" i="31" a="1"/>
  <c r="D17" i="19" a="1"/>
  <c r="F6" i="7" a="1"/>
  <c r="H14" i="18" a="1"/>
  <c r="D9" i="29" a="1"/>
  <c r="H10" i="20" a="1"/>
  <c r="I6" i="13" a="1"/>
  <c r="H17" i="34" a="1"/>
  <c r="F16" i="24" a="1"/>
  <c r="E16" i="33" a="1"/>
  <c r="H15" i="27" a="1"/>
  <c r="H11" i="33" a="1"/>
  <c r="I10" i="15" a="1"/>
  <c r="F15" i="34" a="1"/>
  <c r="I13" i="16" a="1"/>
  <c r="G13" i="8" a="1"/>
  <c r="G10" i="12" a="1"/>
  <c r="G12" i="36" a="1"/>
  <c r="D14" i="10" a="1"/>
  <c r="E12" i="14" a="1"/>
  <c r="E14" i="27" a="1"/>
  <c r="E11" i="35" a="1"/>
  <c r="H10" i="19" a="1"/>
  <c r="E8" i="7" a="1"/>
  <c r="H15" i="14" a="1"/>
  <c r="E9" i="35" a="1"/>
  <c r="G6" i="10" a="1"/>
  <c r="F6" i="33" a="1"/>
  <c r="E6" i="10" a="1"/>
  <c r="D6" i="35" a="1"/>
  <c r="I17" i="12" a="1"/>
  <c r="F13" i="9" a="1"/>
  <c r="E11" i="19" a="1"/>
  <c r="D9" i="19" a="1"/>
  <c r="D15" i="18" a="1"/>
  <c r="I17" i="23" a="1"/>
  <c r="H10" i="37" a="1"/>
  <c r="I6" i="27" a="1"/>
  <c r="I12" i="21" a="1"/>
  <c r="E16" i="32" a="1"/>
  <c r="D10" i="19" a="1"/>
  <c r="E14" i="23" a="1"/>
  <c r="D15" i="16" a="1"/>
  <c r="D13" i="9" a="1"/>
  <c r="H7" i="1" a="1"/>
  <c r="F13" i="13" a="1"/>
  <c r="D13" i="15" a="1"/>
  <c r="I16" i="15" a="1"/>
  <c r="F9" i="29" a="1"/>
  <c r="G14" i="36" a="1"/>
  <c r="H11" i="10" a="1"/>
  <c r="F9" i="16" a="1"/>
  <c r="I9" i="13" a="1"/>
  <c r="D12" i="25" a="1"/>
  <c r="F17" i="26" a="1"/>
  <c r="G16" i="7" a="1"/>
  <c r="I15" i="25" a="1"/>
  <c r="I8" i="20" a="1"/>
  <c r="H10" i="29" a="1"/>
  <c r="H12" i="25" a="1"/>
  <c r="H17" i="31" a="1"/>
  <c r="F11" i="32" a="1"/>
  <c r="F16" i="25" a="1"/>
  <c r="G13" i="10" a="1"/>
  <c r="I7" i="10" a="1"/>
  <c r="F12" i="25" a="1"/>
  <c r="D6" i="8" a="1"/>
  <c r="I12" i="8" a="1"/>
  <c r="G7" i="27" a="1"/>
  <c r="E10" i="19" a="1"/>
  <c r="D12" i="37" a="1"/>
  <c r="H14" i="30" a="1"/>
  <c r="D10" i="33" a="1"/>
  <c r="I14" i="1" a="1"/>
  <c r="H10" i="11" a="1"/>
  <c r="I16" i="14" a="1"/>
  <c r="E6" i="27" a="1"/>
  <c r="E16" i="36" a="1"/>
  <c r="E16" i="28" a="1"/>
  <c r="E11" i="8" a="1"/>
  <c r="E7" i="7" a="1"/>
  <c r="E16" i="7" a="1"/>
  <c r="H15" i="37" a="1"/>
  <c r="D9" i="32" a="1"/>
  <c r="E9" i="27" a="1"/>
  <c r="D6" i="34" a="1"/>
  <c r="H11" i="36" a="1"/>
  <c r="F11" i="34" a="1"/>
  <c r="F8" i="10" a="1"/>
  <c r="F16" i="36" a="1"/>
  <c r="F6" i="31" a="1"/>
  <c r="H14" i="8" a="1"/>
  <c r="F7" i="9" a="1"/>
  <c r="G14" i="10" a="1"/>
  <c r="F16" i="28" a="1"/>
  <c r="E12" i="1" a="1"/>
  <c r="G13" i="7" a="1"/>
  <c r="H8" i="16" a="1"/>
  <c r="G11" i="12" a="1"/>
  <c r="G12" i="12" a="1"/>
  <c r="E13" i="21" a="1"/>
  <c r="I15" i="1" a="1"/>
  <c r="E8" i="19" a="1"/>
  <c r="D16" i="12" a="1"/>
  <c r="E8" i="26" a="1"/>
  <c r="I13" i="34" a="1"/>
  <c r="F17" i="20" a="1"/>
  <c r="H8" i="27" a="1"/>
  <c r="D11" i="10" a="1"/>
  <c r="D7" i="18" a="1"/>
  <c r="F15" i="37" a="1"/>
  <c r="I12" i="15" a="1"/>
  <c r="D10" i="36" a="1"/>
  <c r="G14" i="19" a="1"/>
  <c r="G6" i="17" a="1"/>
  <c r="D15" i="37" a="1"/>
  <c r="I6" i="32" a="1"/>
  <c r="I14" i="31" a="1"/>
  <c r="I15" i="32" a="1"/>
  <c r="D13" i="11" a="1"/>
  <c r="E7" i="29" a="1"/>
  <c r="E14" i="35" a="1"/>
  <c r="H11" i="19" a="1"/>
  <c r="F12" i="28" a="1"/>
  <c r="D12" i="13" a="1"/>
  <c r="H13" i="13" a="1"/>
  <c r="D12" i="18" a="1"/>
  <c r="G14" i="31" a="1"/>
  <c r="G8" i="34" a="1"/>
  <c r="F16" i="35" a="1"/>
  <c r="H9" i="35" a="1"/>
  <c r="H16" i="19" a="1"/>
  <c r="F12" i="33" a="1"/>
  <c r="F13" i="34" a="1"/>
  <c r="H10" i="8" a="1"/>
  <c r="G16" i="13" a="1"/>
  <c r="F8" i="29" a="1"/>
  <c r="D12" i="20" a="1"/>
  <c r="F8" i="15" a="1"/>
  <c r="F14" i="17" a="1"/>
  <c r="G16" i="18" a="1"/>
  <c r="E14" i="15" a="1"/>
  <c r="F7" i="33" a="1"/>
  <c r="D14" i="37" a="1"/>
  <c r="E14" i="24" a="1"/>
  <c r="F10" i="19" a="1"/>
  <c r="H6" i="27" a="1"/>
  <c r="G17" i="10" a="1"/>
  <c r="G9" i="36" a="1"/>
  <c r="E6" i="33" a="1"/>
  <c r="D10" i="31" a="1"/>
  <c r="D14" i="23" a="1"/>
  <c r="G11" i="1" a="1"/>
  <c r="D15" i="34" a="1"/>
  <c r="D10" i="25" a="1"/>
  <c r="E15" i="13" a="1"/>
  <c r="H8" i="19" a="1"/>
  <c r="D12" i="16" a="1"/>
  <c r="F14" i="12" a="1"/>
  <c r="I8" i="12" a="1"/>
  <c r="I13" i="20" a="1"/>
  <c r="F8" i="33" a="1"/>
  <c r="I9" i="20" a="1"/>
  <c r="G12" i="17" a="1"/>
  <c r="E13" i="37" a="1"/>
  <c r="H6" i="16" a="1"/>
  <c r="D16" i="26" a="1"/>
  <c r="F12" i="10" a="1"/>
  <c r="I15" i="21" a="1"/>
  <c r="I9" i="15" a="1"/>
  <c r="D17" i="11" a="1"/>
  <c r="F7" i="27" a="1"/>
  <c r="D9" i="21" a="1"/>
  <c r="G7" i="17" a="1"/>
  <c r="E14" i="34" a="1"/>
  <c r="I17" i="8" a="1"/>
  <c r="D8" i="12" a="1"/>
  <c r="G7" i="35" a="1"/>
  <c r="I6" i="11" a="1"/>
  <c r="G6" i="19" a="1"/>
  <c r="D9" i="16" a="1"/>
  <c r="I17" i="17" a="1"/>
  <c r="G9" i="20" a="1"/>
  <c r="F15" i="15" a="1"/>
  <c r="G7" i="34" a="1"/>
  <c r="E17" i="34" a="1"/>
  <c r="E14" i="33" a="1"/>
  <c r="E15" i="24" a="1"/>
  <c r="I13" i="1" a="1"/>
  <c r="G14" i="18" a="1"/>
  <c r="D15" i="24" a="1"/>
  <c r="G12" i="24" a="1"/>
  <c r="G15" i="26" a="1"/>
  <c r="D9" i="24" a="1"/>
  <c r="I17" i="14" a="1"/>
  <c r="G15" i="33" a="1"/>
  <c r="I6" i="21" a="1"/>
  <c r="I11" i="1" a="1"/>
  <c r="E11" i="37" a="1"/>
  <c r="I17" i="1" a="1"/>
  <c r="D6" i="20" a="1"/>
  <c r="G11" i="30" a="1"/>
  <c r="H6" i="23" a="1"/>
  <c r="G9" i="23" a="1"/>
  <c r="D16" i="34" a="1"/>
  <c r="H13" i="29" a="1"/>
  <c r="G9" i="25" a="1"/>
  <c r="I8" i="32" a="1"/>
  <c r="G7" i="7" a="1"/>
  <c r="I17" i="30" a="1"/>
  <c r="F6" i="37" a="1"/>
  <c r="I16" i="32" a="1"/>
  <c r="H14" i="27" a="1"/>
  <c r="D14" i="24" a="1"/>
  <c r="I9" i="33" a="1"/>
  <c r="G11" i="21" a="1"/>
  <c r="D14" i="27" a="1"/>
  <c r="H12" i="14" a="1"/>
  <c r="F16" i="10" a="1"/>
  <c r="H13" i="18" a="1"/>
  <c r="E17" i="8" a="1"/>
  <c r="E17" i="37" a="1"/>
  <c r="D8" i="28" a="1"/>
  <c r="E16" i="18" a="1"/>
  <c r="F16" i="27" a="1"/>
  <c r="I13" i="25" a="1"/>
  <c r="G10" i="21" a="1"/>
  <c r="I6" i="33" a="1"/>
  <c r="G9" i="32" a="1"/>
  <c r="H8" i="28" a="1"/>
  <c r="D12" i="31" a="1"/>
  <c r="D12" i="12" a="1"/>
  <c r="G7" i="23" a="1"/>
  <c r="F16" i="21" a="1"/>
  <c r="D15" i="7" a="1"/>
  <c r="F10" i="18" a="1"/>
  <c r="I11" i="26" a="1"/>
  <c r="E12" i="36" a="1"/>
  <c r="D11" i="27" a="1"/>
  <c r="G10" i="28" a="1"/>
  <c r="E8" i="37" a="1"/>
  <c r="D15" i="8" a="1"/>
  <c r="F16" i="29" a="1"/>
  <c r="I10" i="30" a="1"/>
  <c r="F10" i="9" a="1"/>
  <c r="H12" i="36" a="1"/>
  <c r="F10" i="37" a="1"/>
  <c r="I12" i="7" a="1"/>
  <c r="D9" i="26" a="1"/>
  <c r="G12" i="31" a="1"/>
  <c r="D9" i="35" a="1"/>
  <c r="G9" i="16" a="1"/>
  <c r="H9" i="36" a="1"/>
  <c r="I10" i="16" a="1"/>
  <c r="E11" i="10" a="1"/>
  <c r="F9" i="30" a="1"/>
  <c r="G9" i="1" a="1"/>
  <c r="G14" i="27" a="1"/>
  <c r="I12" i="16" a="1"/>
  <c r="H11" i="35" a="1"/>
  <c r="H8" i="13" a="1"/>
  <c r="I9" i="10" a="1"/>
  <c r="G10" i="16" a="1"/>
  <c r="F15" i="17" a="1"/>
  <c r="E8" i="16" a="1"/>
  <c r="H15" i="16" a="1"/>
  <c r="F10" i="31" a="1"/>
  <c r="E6" i="28" a="1"/>
  <c r="G11" i="27" a="1"/>
  <c r="F10" i="23" a="1"/>
  <c r="E13" i="7" a="1"/>
  <c r="G15" i="34" a="1"/>
  <c r="G16" i="31" a="1"/>
  <c r="D13" i="12" a="1"/>
  <c r="G8" i="20" a="1"/>
  <c r="F13" i="20" a="1"/>
  <c r="I7" i="34" a="1"/>
  <c r="F12" i="15" a="1"/>
  <c r="G8" i="7" a="1"/>
  <c r="E17" i="28" a="1"/>
  <c r="E9" i="28" a="1"/>
  <c r="E8" i="31" a="1"/>
  <c r="I12" i="27" a="1"/>
  <c r="I17" i="25" a="1"/>
  <c r="D14" i="29" a="1"/>
  <c r="D10" i="21" a="1"/>
  <c r="E10" i="18" a="1"/>
  <c r="F14" i="23" a="1"/>
  <c r="G11" i="14" a="1"/>
  <c r="H11" i="15" a="1"/>
  <c r="G15" i="25" a="1"/>
  <c r="E7" i="37" a="1"/>
  <c r="D7" i="33" a="1"/>
  <c r="E11" i="18" a="1"/>
  <c r="H16" i="27" a="1"/>
  <c r="I7" i="36" a="1"/>
  <c r="G8" i="12" a="1"/>
  <c r="D6" i="29" a="1"/>
  <c r="E7" i="19" a="1"/>
  <c r="I13" i="18" a="1"/>
  <c r="D16" i="9" a="1"/>
  <c r="F9" i="10" a="1"/>
  <c r="H12" i="31" a="1"/>
  <c r="D13" i="26" a="1"/>
  <c r="H9" i="25" a="1"/>
  <c r="D8" i="33" a="1"/>
  <c r="I8" i="28" a="1"/>
  <c r="I9" i="12" a="1"/>
  <c r="H15" i="26" a="1"/>
  <c r="I14" i="17" a="1"/>
  <c r="F10" i="14" a="1"/>
  <c r="D7" i="24" a="1"/>
  <c r="E17" i="17" a="1"/>
  <c r="H16" i="30" a="1"/>
  <c r="E15" i="8" a="1"/>
  <c r="E14" i="12" a="1"/>
  <c r="E11" i="27" a="1"/>
  <c r="H16" i="1" a="1"/>
  <c r="G13" i="27" a="1"/>
  <c r="D8" i="20" a="1"/>
  <c r="D11" i="7" a="1"/>
  <c r="G15" i="11" a="1"/>
  <c r="F9" i="25" a="1"/>
  <c r="F11" i="14" a="1"/>
  <c r="F7" i="24" a="1"/>
  <c r="I11" i="23" a="1"/>
  <c r="F11" i="11" a="1"/>
  <c r="I7" i="19" a="1"/>
  <c r="G11" i="32" a="1"/>
  <c r="H14" i="19" a="1"/>
  <c r="H14" i="25" a="1"/>
  <c r="I11" i="32" a="1"/>
  <c r="H11" i="13" a="1"/>
  <c r="D10" i="24" a="1"/>
  <c r="H11" i="17" a="1"/>
  <c r="I16" i="33" a="1"/>
  <c r="H7" i="11" a="1"/>
  <c r="E12" i="11" a="1"/>
  <c r="D8" i="15" a="1"/>
  <c r="G11" i="28" a="1"/>
  <c r="F11" i="9" a="1"/>
  <c r="E17" i="21" a="1"/>
  <c r="I8" i="30" a="1"/>
  <c r="D15" i="28" a="1"/>
  <c r="F15" i="24" a="1"/>
  <c r="E12" i="28" a="1"/>
  <c r="D8" i="9" a="1"/>
  <c r="E10" i="17" a="1"/>
  <c r="G15" i="24" a="1"/>
  <c r="H17" i="35" a="1"/>
  <c r="H16" i="25" a="1"/>
  <c r="E7" i="11" a="1"/>
  <c r="H7" i="20" a="1"/>
  <c r="I12" i="14" a="1"/>
  <c r="D15" i="27" a="1"/>
  <c r="F6" i="30" a="1"/>
  <c r="I15" i="28" a="1"/>
  <c r="H6" i="1" a="1"/>
  <c r="G13" i="26" a="1"/>
  <c r="I16" i="8" a="1"/>
  <c r="D8" i="36" a="1"/>
  <c r="E13" i="28" a="1"/>
  <c r="I13" i="9" a="1"/>
  <c r="G12" i="33" a="1"/>
  <c r="E6" i="35" a="1"/>
  <c r="F17" i="37" a="1"/>
  <c r="I9" i="1" a="1"/>
  <c r="F7" i="34" a="1"/>
  <c r="I8" i="35" a="1"/>
  <c r="G7" i="30" a="1"/>
  <c r="H10" i="1" a="1"/>
  <c r="E16" i="13" a="1"/>
  <c r="I14" i="29" a="1"/>
  <c r="D17" i="20" a="1"/>
  <c r="I14" i="35" a="1"/>
  <c r="F12" i="34" a="1"/>
  <c r="H9" i="9" a="1"/>
  <c r="I7" i="35" a="1"/>
  <c r="F17" i="12" a="1"/>
  <c r="E13" i="18" a="1"/>
  <c r="D13" i="14" a="1"/>
  <c r="E7" i="24" a="1"/>
  <c r="I8" i="15" a="1"/>
  <c r="D17" i="16" a="1"/>
  <c r="F15" i="18" a="1"/>
  <c r="G8" i="21" a="1"/>
  <c r="H8" i="30" a="1"/>
  <c r="I15" i="33" a="1"/>
  <c r="G13" i="21" a="1"/>
  <c r="D15" i="17" a="1"/>
  <c r="E8" i="8" a="1"/>
  <c r="E12" i="31" a="1"/>
  <c r="G13" i="12" a="1"/>
  <c r="H13" i="27" a="1"/>
  <c r="E13" i="36" a="1"/>
  <c r="H15" i="28" a="1"/>
  <c r="D15" i="20" a="1"/>
  <c r="G10" i="24" a="1"/>
  <c r="F9" i="33" a="1"/>
  <c r="H6" i="11" a="1"/>
  <c r="E12" i="23" a="1"/>
  <c r="I7" i="33" a="1"/>
  <c r="F8" i="32" a="1"/>
  <c r="G8" i="8" a="1"/>
  <c r="D14" i="8" a="1"/>
  <c r="H7" i="29" a="1"/>
  <c r="I14" i="9" a="1"/>
  <c r="H9" i="33" a="1"/>
  <c r="E10" i="16" a="1"/>
  <c r="E16" i="31" a="1"/>
  <c r="G16" i="28" a="1"/>
  <c r="I13" i="28" a="1"/>
  <c r="G8" i="10" a="1"/>
  <c r="D17" i="32" a="1"/>
  <c r="I12" i="11" a="1"/>
  <c r="F13" i="24" a="1"/>
  <c r="D7" i="17" a="1"/>
  <c r="E16" i="1" a="1"/>
  <c r="D8" i="16" a="1"/>
  <c r="I8" i="10" a="1"/>
  <c r="E9" i="18" a="1"/>
  <c r="F17" i="11" a="1"/>
  <c r="H17" i="9" a="1"/>
  <c r="I7" i="14" a="1"/>
  <c r="G12" i="25" a="1"/>
  <c r="E15" i="19" a="1"/>
  <c r="E14" i="37" a="1"/>
  <c r="F6" i="25" a="1"/>
  <c r="D15" i="36" a="1"/>
  <c r="H14" i="26" a="1"/>
  <c r="F17" i="17" a="1"/>
  <c r="G7" i="9" a="1"/>
  <c r="D10" i="14" a="1"/>
  <c r="I11" i="16" a="1"/>
  <c r="I17" i="9" a="1"/>
  <c r="G15" i="28" a="1"/>
  <c r="G17" i="21" a="1"/>
  <c r="F8" i="18" a="1"/>
  <c r="E17" i="29" a="1"/>
  <c r="H14" i="36" a="1"/>
  <c r="F9" i="7" a="1"/>
  <c r="I7" i="11" a="1"/>
  <c r="D7" i="27" a="1"/>
  <c r="E15" i="36" a="1"/>
  <c r="F12" i="12" a="1"/>
  <c r="F11" i="37" a="1"/>
  <c r="D7" i="31" a="1"/>
  <c r="F12" i="9" a="1"/>
  <c r="H15" i="25" a="1"/>
  <c r="I9" i="19" a="1"/>
  <c r="G12" i="30" a="1"/>
  <c r="D12" i="19" a="1"/>
  <c r="H12" i="21" a="1"/>
  <c r="I15" i="31" a="1"/>
  <c r="D14" i="35" a="1"/>
  <c r="D6" i="31" a="1"/>
  <c r="D11" i="35" a="1"/>
  <c r="F8" i="31" a="1"/>
  <c r="G12" i="21" a="1"/>
  <c r="D10" i="34" a="1"/>
  <c r="I10" i="24" a="1"/>
  <c r="I15" i="26" a="1"/>
  <c r="H13" i="9" a="1"/>
  <c r="H11" i="25" a="1"/>
  <c r="G12" i="20" a="1"/>
  <c r="D17" i="27" a="1"/>
  <c r="E7" i="16" a="1"/>
  <c r="I15" i="9" a="1"/>
  <c r="E13" i="16" a="1"/>
  <c r="D6" i="33" a="1"/>
  <c r="E13" i="31" a="1"/>
  <c r="D7" i="23" a="1"/>
  <c r="H14" i="20" a="1"/>
  <c r="G14" i="23" a="1"/>
  <c r="E12" i="21" a="1"/>
  <c r="E12" i="7" a="1"/>
  <c r="H12" i="34" a="1"/>
  <c r="H6" i="9" a="1"/>
  <c r="E14" i="7" a="1"/>
  <c r="E7" i="27" a="1"/>
  <c r="G8" i="17" a="1"/>
  <c r="E13" i="20" a="1"/>
  <c r="F7" i="13" a="1"/>
  <c r="E13" i="23" a="1"/>
  <c r="H12" i="16" a="1"/>
  <c r="I10" i="31" a="1"/>
  <c r="D13" i="27" a="1"/>
  <c r="G14" i="29" a="1"/>
  <c r="E7" i="14" a="1"/>
  <c r="H8" i="10" a="1"/>
  <c r="F17" i="33" a="1"/>
  <c r="G12" i="26" a="1"/>
  <c r="D15" i="12" a="1"/>
  <c r="I16" i="10" a="1"/>
  <c r="I13" i="36" a="1"/>
  <c r="D14" i="15" a="1"/>
  <c r="D16" i="23" a="1"/>
  <c r="G16" i="23" a="1"/>
  <c r="F14" i="21" a="1"/>
  <c r="H15" i="36" a="1"/>
  <c r="H15" i="24" a="1"/>
  <c r="I6" i="1" a="1"/>
  <c r="F12" i="16" a="1"/>
  <c r="G11" i="15" a="1"/>
  <c r="D13" i="1" a="1"/>
  <c r="I10" i="18" a="1"/>
  <c r="I11" i="28" a="1"/>
  <c r="F9" i="28" a="1"/>
  <c r="F6" i="36" a="1"/>
  <c r="I11" i="31" a="1"/>
  <c r="E16" i="29" a="1"/>
  <c r="D17" i="33" a="1"/>
  <c r="H11" i="37" a="1"/>
  <c r="D16" i="35" a="1"/>
  <c r="E8" i="34" a="1"/>
  <c r="I9" i="28" a="1"/>
  <c r="H17" i="7" a="1"/>
  <c r="G7" i="28" a="1"/>
  <c r="F14" i="11" a="1"/>
  <c r="F9" i="35" a="1"/>
  <c r="G8" i="25" a="1"/>
  <c r="G15" i="23" a="1"/>
  <c r="D14" i="7" a="1"/>
  <c r="F15" i="30" a="1"/>
  <c r="I10" i="21" a="1"/>
  <c r="F14" i="33" a="1"/>
  <c r="H14" i="14" a="1"/>
  <c r="G15" i="9" a="1"/>
  <c r="D9" i="12" a="1"/>
  <c r="I12" i="19" a="1"/>
  <c r="I9" i="24" a="1"/>
  <c r="D7" i="1" a="1"/>
  <c r="I9" i="21" a="1"/>
  <c r="H13" i="25" a="1"/>
  <c r="H11" i="1" a="1"/>
  <c r="G14" i="21" a="1"/>
  <c r="E12" i="25" a="1"/>
  <c r="H12" i="32" a="1"/>
  <c r="H10" i="30" a="1"/>
  <c r="E10" i="20" a="1"/>
  <c r="G6" i="11" a="1"/>
  <c r="G12" i="11" a="1"/>
  <c r="H15" i="13" a="1"/>
  <c r="G12" i="18" a="1"/>
  <c r="G9" i="13" a="1"/>
  <c r="E12" i="35" a="1"/>
  <c r="F7" i="28" a="1"/>
  <c r="I11" i="24" a="1"/>
  <c r="D17" i="26" a="1"/>
  <c r="F13" i="36" a="1"/>
  <c r="D11" i="32" a="1"/>
  <c r="D11" i="13" a="1"/>
  <c r="F6" i="16" a="1"/>
  <c r="E6" i="18" a="1"/>
  <c r="F16" i="18" a="1"/>
  <c r="G17" i="28" a="1"/>
  <c r="I7" i="13" a="1"/>
  <c r="F10" i="7" a="1"/>
  <c r="F13" i="8" a="1"/>
  <c r="H7" i="34" a="1"/>
  <c r="G8" i="37" a="1"/>
  <c r="E16" i="17" a="1"/>
  <c r="E15" i="18" a="1"/>
  <c r="D10" i="8" a="1"/>
  <c r="H6" i="37" a="1"/>
  <c r="H8" i="33" a="1"/>
  <c r="E16" i="25" a="1"/>
  <c r="I6" i="10" a="1"/>
  <c r="D12" i="35" a="1"/>
  <c r="G6" i="13" a="1"/>
  <c r="F8" i="28" a="1"/>
  <c r="G9" i="15" a="1"/>
  <c r="I8" i="25" a="1"/>
  <c r="F8" i="13" a="1"/>
  <c r="F6" i="12" a="1"/>
  <c r="D14" i="12" a="1"/>
  <c r="E9" i="14" a="1"/>
  <c r="H17" i="10" a="1"/>
  <c r="D12" i="1" a="1"/>
  <c r="E17" i="23" a="1"/>
  <c r="F14" i="1" a="1"/>
  <c r="E10" i="8" a="1"/>
  <c r="I13" i="7" a="1"/>
  <c r="F10" i="21" a="1"/>
  <c r="F7" i="15" a="1"/>
  <c r="I11" i="18" a="1"/>
  <c r="H12" i="10" a="1"/>
  <c r="E9" i="7" a="1"/>
  <c r="E15" i="32" a="1"/>
  <c r="D10" i="18" a="1"/>
  <c r="D9" i="20" a="1"/>
  <c r="G15" i="20" a="1"/>
  <c r="E17" i="30" a="1"/>
  <c r="F6" i="28" a="1"/>
  <c r="G7" i="13" a="1"/>
  <c r="D9" i="17" a="1"/>
  <c r="G9" i="12" a="1"/>
  <c r="G17" i="16" a="1"/>
  <c r="H7" i="21" a="1"/>
  <c r="G17" i="29" a="1"/>
  <c r="E10" i="36" a="1"/>
  <c r="H14" i="33" a="1"/>
  <c r="G9" i="33" a="1"/>
  <c r="D14" i="21" a="1"/>
  <c r="F9" i="26" a="1"/>
  <c r="D10" i="12" a="1"/>
  <c r="G9" i="30" a="1"/>
  <c r="I14" i="19" a="1"/>
  <c r="I7" i="25" a="1"/>
  <c r="E10" i="21" a="1"/>
  <c r="G16" i="29" a="1"/>
  <c r="D16" i="17" a="1"/>
  <c r="H15" i="20" a="1"/>
  <c r="H8" i="23" a="1"/>
  <c r="H17" i="15" a="1"/>
  <c r="H6" i="10" a="1"/>
  <c r="G10" i="35" a="1"/>
  <c r="E13" i="8" a="1"/>
  <c r="I8" i="21" a="1"/>
  <c r="I14" i="14" a="1"/>
  <c r="H10" i="32" a="1"/>
  <c r="D17" i="24" a="1"/>
  <c r="D11" i="23" a="1"/>
  <c r="I13" i="17" a="1"/>
  <c r="E11" i="24" a="1"/>
  <c r="G16" i="34" a="1"/>
  <c r="I16" i="1" a="1"/>
  <c r="H16" i="33" a="1"/>
  <c r="D7" i="15" a="1"/>
  <c r="G10" i="36" a="1"/>
  <c r="G9" i="28" a="1"/>
  <c r="F11" i="33" a="1"/>
  <c r="D6" i="13" a="1"/>
  <c r="E14" i="25" a="1"/>
  <c r="F6" i="27" a="1"/>
  <c r="H16" i="14" a="1"/>
  <c r="G9" i="10" a="1"/>
  <c r="D7" i="9" a="1"/>
  <c r="I11" i="12" a="1"/>
  <c r="G7" i="24" a="1"/>
  <c r="G10" i="18" a="1"/>
  <c r="H10" i="18" a="1"/>
  <c r="G6" i="12" a="1"/>
  <c r="E16" i="35" a="1"/>
  <c r="G7" i="10" a="1"/>
  <c r="G10" i="34" a="1"/>
  <c r="H17" i="24" a="1"/>
  <c r="G13" i="15" a="1"/>
  <c r="H9" i="18" a="1"/>
  <c r="I6" i="14" a="1"/>
  <c r="I9" i="9" a="1"/>
  <c r="G11" i="34" a="1"/>
  <c r="I6" i="37" a="1"/>
  <c r="E12" i="15" a="1"/>
  <c r="F15" i="7" a="1"/>
  <c r="G9" i="29" a="1"/>
  <c r="H10" i="35" a="1"/>
  <c r="G7" i="32" a="1"/>
  <c r="I9" i="16" a="1"/>
  <c r="I14" i="13" a="1"/>
  <c r="H17" i="26" a="1"/>
  <c r="I15" i="8" a="1"/>
  <c r="H15" i="11" a="1"/>
  <c r="I14" i="11" a="1"/>
  <c r="I15" i="14" a="1"/>
  <c r="G6" i="27" a="1"/>
  <c r="H16" i="18" a="1"/>
  <c r="F17" i="30" a="1"/>
  <c r="F17" i="7" a="1"/>
  <c r="I17" i="34" a="1"/>
  <c r="E17" i="9" a="1"/>
  <c r="G17" i="13" a="1"/>
  <c r="E15" i="11" a="1"/>
  <c r="G6" i="7" a="1"/>
  <c r="D10" i="13" a="1"/>
  <c r="D6" i="36" a="1"/>
  <c r="F10" i="20" a="1"/>
  <c r="I11" i="7" a="1"/>
  <c r="I13" i="10" a="1"/>
  <c r="H8" i="11" a="1"/>
  <c r="G17" i="1" a="1"/>
  <c r="H12" i="15" a="1"/>
  <c r="I13" i="23" a="1"/>
  <c r="F15" i="28" a="1"/>
  <c r="F7" i="12" a="1"/>
  <c r="G16" i="21" a="1"/>
  <c r="H15" i="7" a="1"/>
  <c r="E14" i="21" a="1"/>
  <c r="I10" i="14" a="1"/>
  <c r="E14" i="16" a="1"/>
  <c r="F13" i="15" a="1"/>
  <c r="D14" i="9" a="1"/>
  <c r="F14" i="31" a="1"/>
  <c r="F10" i="30" a="1"/>
  <c r="E9" i="16" a="1"/>
  <c r="E13" i="1" a="1"/>
  <c r="E13" i="33" a="1"/>
  <c r="G10" i="11" a="1"/>
  <c r="H9" i="21" a="1"/>
  <c r="G17" i="20" a="1"/>
  <c r="D8" i="24" a="1"/>
  <c r="H7" i="37" a="1"/>
  <c r="H17" i="25" a="1"/>
  <c r="G10" i="23" a="1"/>
  <c r="E10" i="27" a="1"/>
  <c r="F8" i="8" a="1"/>
  <c r="E14" i="14" a="1"/>
  <c r="F7" i="11" a="1"/>
  <c r="F16" i="20" a="1"/>
  <c r="H8" i="35" a="1"/>
  <c r="D7" i="34" a="1"/>
  <c r="I13" i="29" a="1"/>
  <c r="I11" i="36" a="1"/>
  <c r="G9" i="26" a="1"/>
  <c r="F15" i="14" a="1"/>
  <c r="G17" i="31" a="1"/>
  <c r="E15" i="14" a="1"/>
  <c r="I7" i="15" a="1"/>
  <c r="H8" i="32" a="1"/>
  <c r="I12" i="23" a="1"/>
  <c r="G7" i="12" a="1"/>
  <c r="I14" i="26" a="1"/>
  <c r="F8" i="19" a="1"/>
  <c r="E6" i="31" a="1"/>
  <c r="I7" i="12" a="1"/>
  <c r="H12" i="30" a="1"/>
  <c r="F10" i="12" a="1"/>
  <c r="E7" i="30" a="1"/>
  <c r="F13" i="32" a="1"/>
  <c r="F8" i="24" a="1"/>
  <c r="H12" i="17" a="1"/>
  <c r="G6" i="32" a="1"/>
  <c r="D6" i="16" a="1"/>
  <c r="G13" i="25" a="1"/>
  <c r="F14" i="15" a="1"/>
  <c r="I14" i="24" a="1"/>
  <c r="G13" i="33" a="1"/>
  <c r="F12" i="7" a="1"/>
  <c r="G14" i="7" a="1"/>
  <c r="H14" i="1" a="1"/>
  <c r="D13" i="17" a="1"/>
  <c r="D7" i="21" a="1"/>
  <c r="I9" i="25" a="1"/>
  <c r="E8" i="10" a="1"/>
  <c r="G15" i="36" a="1"/>
  <c r="F11" i="21" a="1"/>
  <c r="D11" i="9" a="1"/>
  <c r="F15" i="31" a="1"/>
  <c r="F8" i="30" a="1"/>
  <c r="F8" i="7" a="1"/>
  <c r="I12" i="10" a="1"/>
  <c r="H17" i="30" a="1"/>
  <c r="E17" i="25" a="1"/>
  <c r="D8" i="30" a="1"/>
  <c r="H6" i="15" a="1"/>
  <c r="F14" i="32" a="1"/>
  <c r="E16" i="14" a="1"/>
  <c r="I8" i="36" a="1"/>
  <c r="G16" i="27" a="1"/>
  <c r="E12" i="16" a="1"/>
  <c r="I17" i="32" a="1"/>
  <c r="G6" i="24" a="1"/>
  <c r="H11" i="24" a="1"/>
  <c r="G8" i="15" a="1"/>
  <c r="D14" i="14" a="1"/>
  <c r="H7" i="9" a="1"/>
  <c r="G7" i="16" a="1"/>
  <c r="D7" i="20" a="1"/>
  <c r="G17" i="33" a="1"/>
  <c r="I8" i="24" a="1"/>
  <c r="H13" i="28" a="1"/>
  <c r="F14" i="18" a="1"/>
  <c r="I14" i="28" a="1"/>
  <c r="E6" i="24" a="1"/>
  <c r="G14" i="12" a="1"/>
  <c r="F16" i="1" a="1"/>
  <c r="E6" i="26" a="1"/>
  <c r="I9" i="23" a="1"/>
  <c r="E12" i="9" a="1"/>
  <c r="F12" i="13" a="1"/>
  <c r="D7" i="11" a="1"/>
  <c r="F13" i="30" a="1"/>
  <c r="I8" i="16" a="1"/>
  <c r="F16" i="7" a="1"/>
  <c r="H16" i="37" a="1"/>
  <c r="I11" i="9" a="1"/>
  <c r="E11" i="7" a="1"/>
  <c r="F15" i="35" a="1"/>
  <c r="I8" i="27" a="1"/>
  <c r="H16" i="9" a="1"/>
  <c r="F6" i="20" a="1"/>
  <c r="D10" i="1" a="1"/>
  <c r="I13" i="12" a="1"/>
  <c r="H6" i="29" a="1"/>
  <c r="D16" i="1" a="1"/>
  <c r="G16" i="33" a="1"/>
  <c r="I6" i="34" a="1"/>
  <c r="I10" i="36" a="1"/>
  <c r="H17" i="16" a="1"/>
  <c r="G13" i="28" a="1"/>
  <c r="H13" i="36" a="1"/>
  <c r="F12" i="21" a="1"/>
  <c r="D13" i="13" a="1"/>
  <c r="I17" i="37" a="1"/>
  <c r="H12" i="7" a="1"/>
  <c r="E17" i="16" a="1"/>
  <c r="D14" i="30" a="1"/>
  <c r="H6" i="26" a="1"/>
  <c r="G6" i="34" a="1"/>
  <c r="E11" i="34" a="1"/>
  <c r="H7" i="8" a="1"/>
  <c r="I7" i="32" a="1"/>
  <c r="G9" i="8" a="1"/>
  <c r="H10" i="9" a="1"/>
  <c r="F14" i="30" a="1"/>
  <c r="F17" i="32" a="1"/>
  <c r="I15" i="29" a="1"/>
  <c r="I14" i="33" a="1"/>
  <c r="G10" i="9" a="1"/>
  <c r="I12" i="18" a="1"/>
  <c r="H8" i="7" a="1"/>
  <c r="F10" i="34" a="1"/>
  <c r="H13" i="33" a="1"/>
  <c r="I14" i="16" a="1"/>
  <c r="H12" i="9" a="1"/>
  <c r="I10" i="9" a="1"/>
  <c r="I16" i="17" a="1"/>
  <c r="D16" i="15" a="1"/>
  <c r="F17" i="24" a="1"/>
  <c r="E15" i="23" a="1"/>
  <c r="I11" i="19" a="1"/>
  <c r="D7" i="8" a="1"/>
  <c r="G6" i="1" a="1"/>
  <c r="G7" i="14" a="1"/>
  <c r="E10" i="31" a="1"/>
  <c r="G11" i="7" a="1"/>
  <c r="H11" i="20" a="1"/>
  <c r="I17" i="13" a="1"/>
  <c r="E16" i="21" a="1"/>
  <c r="D16" i="27" a="1"/>
  <c r="I12" i="32" a="1"/>
  <c r="H7" i="25" a="1"/>
  <c r="G10" i="20" a="1"/>
  <c r="D12" i="28" a="1"/>
  <c r="G9" i="37" a="1"/>
  <c r="G6" i="18" a="1"/>
  <c r="F6" i="35" a="1"/>
  <c r="H9" i="32" a="1"/>
  <c r="E12" i="26" a="1"/>
  <c r="D8" i="7" a="1"/>
  <c r="F12" i="1" a="1"/>
  <c r="D8" i="18" a="1"/>
  <c r="I8" i="23" a="1"/>
  <c r="E16" i="19" a="1"/>
  <c r="E15" i="28" a="1"/>
  <c r="F13" i="12" a="1"/>
  <c r="E17" i="31" a="1"/>
  <c r="H16" i="31" a="1"/>
  <c r="H14" i="16" a="1"/>
  <c r="H7" i="27" a="1"/>
  <c r="F10" i="28" a="1"/>
  <c r="E11" i="23" a="1"/>
  <c r="I9" i="27" a="1"/>
  <c r="I7" i="23" a="1"/>
  <c r="D8" i="8" a="1"/>
  <c r="H6" i="13" a="1"/>
  <c r="I12" i="1" a="1"/>
  <c r="E9" i="9" a="1"/>
  <c r="G7" i="20" a="1"/>
  <c r="D9" i="33" a="1"/>
  <c r="H17" i="11" a="1"/>
  <c r="E13" i="12" a="1"/>
  <c r="H7" i="7" a="1"/>
  <c r="F9" i="21" a="1"/>
  <c r="E8" i="18" a="1"/>
  <c r="D15" i="21" a="1"/>
  <c r="I15" i="12" a="1"/>
  <c r="H11" i="32" a="1"/>
  <c r="G16" i="20" a="1"/>
  <c r="F9" i="20" a="1"/>
  <c r="I12" i="34" a="1"/>
  <c r="H17" i="20" a="1"/>
  <c r="D16" i="37" a="1"/>
  <c r="G12" i="29" a="1"/>
  <c r="H13" i="23" a="1"/>
  <c r="G11" i="26" a="1"/>
  <c r="F7" i="1" a="1"/>
  <c r="I12" i="29" a="1"/>
  <c r="D16" i="13" a="1"/>
  <c r="H16" i="26" a="1"/>
  <c r="G16" i="26" a="1"/>
  <c r="E11" i="14" a="1"/>
  <c r="E7" i="31" a="1"/>
  <c r="E9" i="26" a="1"/>
  <c r="F12" i="11" a="1"/>
  <c r="E6" i="12" a="1"/>
  <c r="D16" i="10" a="1"/>
  <c r="D12" i="29" a="1"/>
  <c r="E11" i="20" a="1"/>
  <c r="I13" i="15" a="1"/>
  <c r="H16" i="16" a="1"/>
  <c r="D16" i="14" a="1"/>
  <c r="H8" i="26" a="1"/>
  <c r="G17" i="25" a="1"/>
  <c r="H17" i="21" a="1"/>
  <c r="E15" i="33" a="1"/>
  <c r="H12" i="37" a="1"/>
  <c r="F16" i="30" a="1"/>
  <c r="E8" i="24" a="1"/>
  <c r="F16" i="33" a="1"/>
  <c r="D16" i="20" a="1"/>
  <c r="G7" i="29" a="1"/>
  <c r="D17" i="15" a="1"/>
  <c r="E12" i="8" a="1"/>
  <c r="F13" i="33" a="1"/>
  <c r="D11" i="25" a="1"/>
  <c r="G8" i="26" a="1"/>
  <c r="G10" i="8" a="1"/>
  <c r="F6" i="34" a="1"/>
  <c r="F10" i="10" a="1"/>
  <c r="E8" i="17" a="1"/>
  <c r="F13" i="14" a="1"/>
  <c r="E8" i="15" a="1"/>
  <c r="D6" i="15" a="1"/>
  <c r="H14" i="10" a="1"/>
  <c r="F9" i="24" a="1"/>
  <c r="D11" i="37" a="1"/>
  <c r="I15" i="35" a="1"/>
  <c r="H14" i="13" a="1"/>
  <c r="F7" i="21" a="1"/>
  <c r="E14" i="32" a="1"/>
  <c r="H12" i="29" a="1"/>
  <c r="I13" i="21" a="1"/>
  <c r="F9" i="36" a="1"/>
  <c r="F14" i="36" a="1"/>
  <c r="D6" i="12" a="1"/>
  <c r="H10" i="24" a="1"/>
  <c r="E15" i="7" a="1"/>
  <c r="E7" i="1" a="1"/>
  <c r="E13" i="15" a="1"/>
  <c r="D8" i="1" a="1"/>
  <c r="F11" i="18" a="1"/>
  <c r="D9" i="15" a="1"/>
  <c r="H17" i="28" a="1"/>
  <c r="G10" i="13" a="1"/>
  <c r="F6" i="18" a="1"/>
  <c r="G6" i="16" a="1"/>
  <c r="I8" i="18" a="1"/>
  <c r="F8" i="26" a="1"/>
  <c r="F8" i="35" a="1"/>
  <c r="G7" i="25" a="1"/>
  <c r="F12" i="24" a="1"/>
  <c r="D14" i="17" a="1"/>
  <c r="D10" i="9" a="1"/>
  <c r="D7" i="13" a="1"/>
  <c r="H8" i="17" a="1"/>
  <c r="E9" i="24" a="1"/>
  <c r="F13" i="10" a="1"/>
  <c r="H13" i="31" a="1"/>
  <c r="D10" i="11" a="1"/>
  <c r="G15" i="14" a="1"/>
  <c r="D6" i="18" a="1"/>
  <c r="E15" i="20" a="1"/>
  <c r="H9" i="12" a="1"/>
  <c r="G13" i="20" a="1"/>
  <c r="E6" i="7" a="1"/>
  <c r="E9" i="29" a="1"/>
  <c r="G11" i="31" a="1"/>
  <c r="I16" i="9" a="1"/>
  <c r="G14" i="16" a="1"/>
  <c r="H7" i="12" a="1"/>
  <c r="G13" i="30" a="1"/>
  <c r="H6" i="17" a="1"/>
  <c r="E13" i="9" a="1"/>
  <c r="E14" i="36" a="1"/>
  <c r="E15" i="30" a="1"/>
  <c r="E7" i="9" a="1"/>
  <c r="H17" i="12" a="1"/>
  <c r="D7" i="25" a="1"/>
  <c r="G14" i="24" a="1"/>
  <c r="D15" i="9" a="1"/>
  <c r="D8" i="13" a="1"/>
  <c r="E9" i="20" a="1"/>
  <c r="H13" i="37" a="1"/>
  <c r="H12" i="12" a="1"/>
  <c r="E14" i="30" a="1"/>
  <c r="E17" i="18" a="1"/>
  <c r="I17" i="35" a="1"/>
  <c r="F17" i="27" a="1"/>
  <c r="F7" i="26" a="1"/>
  <c r="H16" i="35" a="1"/>
  <c r="I14" i="21" a="1"/>
  <c r="G8" i="18" a="1"/>
  <c r="H11" i="28" a="1"/>
  <c r="H12" i="13" a="1"/>
  <c r="G12" i="32" a="1"/>
  <c r="G6" i="37" a="1"/>
  <c r="H10" i="10" a="1"/>
  <c r="G12" i="23" a="1"/>
  <c r="G16" i="11" a="1"/>
  <c r="G16" i="12" a="1"/>
  <c r="H16" i="23" a="1"/>
  <c r="H16" i="7" a="1"/>
  <c r="H7" i="16" a="1"/>
  <c r="F17" i="15" a="1"/>
  <c r="F16" i="19" a="1"/>
  <c r="F10" i="15" a="1"/>
  <c r="E15" i="34" a="1"/>
  <c r="I14" i="18" a="1"/>
  <c r="H11" i="23" a="1"/>
  <c r="H10" i="12" a="1"/>
  <c r="I16" i="13" a="1"/>
  <c r="H13" i="26" a="1"/>
  <c r="H8" i="20" a="1"/>
  <c r="E15" i="25" a="1"/>
  <c r="D13" i="35" a="1"/>
  <c r="D13" i="37" a="1"/>
  <c r="H13" i="21" a="1"/>
  <c r="D14" i="32" a="1"/>
  <c r="E10" i="11" a="1"/>
  <c r="H9" i="11" a="1"/>
  <c r="H6" i="25" a="1"/>
  <c r="G15" i="37" a="1"/>
  <c r="F6" i="15" a="1"/>
  <c r="G11" i="13" a="1"/>
  <c r="G13" i="37" a="1"/>
  <c r="D7" i="37" a="1"/>
  <c r="F17" i="29" a="1"/>
  <c r="E15" i="17" a="1"/>
  <c r="F13" i="11" a="1"/>
  <c r="E10" i="10" a="1"/>
  <c r="E15" i="35" a="1"/>
  <c r="D13" i="25" a="1"/>
  <c r="I6" i="28" a="1"/>
  <c r="H16" i="8" a="1"/>
  <c r="D7" i="29" a="1"/>
  <c r="I7" i="17" a="1"/>
  <c r="E13" i="32" a="1"/>
  <c r="I10" i="1" a="1"/>
  <c r="F13" i="26" a="1"/>
  <c r="G9" i="14" a="1"/>
  <c r="G8" i="33" a="1"/>
  <c r="F6" i="13" a="1"/>
  <c r="E16" i="26" a="1"/>
  <c r="I10" i="8" a="1"/>
  <c r="D8" i="17" a="1"/>
  <c r="G14" i="15" a="1"/>
  <c r="F12" i="14" a="1"/>
  <c r="E16" i="37" a="1"/>
  <c r="E9" i="8" a="1"/>
  <c r="F8" i="11" a="1"/>
  <c r="I16" i="25" a="1"/>
  <c r="H15" i="21" a="1"/>
  <c r="E15" i="31" a="1"/>
  <c r="D6" i="9" a="1"/>
  <c r="I9" i="36" a="1"/>
  <c r="E11" i="12" a="1"/>
  <c r="H16" i="17" a="1"/>
  <c r="E10" i="34" a="1"/>
  <c r="D9" i="7" a="1"/>
  <c r="H9" i="8" a="1"/>
  <c r="G14" i="17" a="1"/>
  <c r="D9" i="30" a="1"/>
  <c r="F12" i="17" a="1"/>
  <c r="I13" i="31" a="1"/>
  <c r="F7" i="7" a="1"/>
  <c r="D11" i="20" a="1"/>
  <c r="F14" i="35" a="1"/>
  <c r="E17" i="10" a="1"/>
  <c r="I10" i="12" a="1"/>
  <c r="I15" i="23" a="1"/>
  <c r="D11" i="15" a="1"/>
  <c r="H11" i="30" a="1"/>
  <c r="G10" i="25" a="1"/>
  <c r="D12" i="9" a="1"/>
  <c r="H10" i="34" a="1"/>
  <c r="F11" i="8" a="1"/>
  <c r="E7" i="32" a="1"/>
  <c r="D13" i="34" a="1"/>
  <c r="H7" i="32" a="1"/>
  <c r="D14" i="11" a="1"/>
  <c r="H9" i="10" a="1"/>
  <c r="F15" i="25" a="1"/>
  <c r="H8" i="1" a="1"/>
  <c r="H8" i="37" a="1"/>
  <c r="H11" i="31" a="1"/>
  <c r="D16" i="8" a="1"/>
  <c r="E12" i="24" a="1"/>
  <c r="F12" i="30" a="1"/>
  <c r="H13" i="17" a="1"/>
  <c r="D6" i="14" a="1"/>
  <c r="E17" i="33" a="1"/>
  <c r="G6" i="20" a="1"/>
  <c r="D13" i="20" a="1"/>
  <c r="E7" i="13" a="1"/>
  <c r="D9" i="23" a="1"/>
  <c r="D14" i="16" a="1"/>
  <c r="F13" i="19" a="1"/>
  <c r="H14" i="12" a="1"/>
  <c r="D17" i="37" a="1"/>
  <c r="F11" i="7" a="1"/>
  <c r="I15" i="20" a="1"/>
  <c r="H13" i="14" a="1"/>
  <c r="G17" i="32" a="1"/>
  <c r="D16" i="32" a="1"/>
  <c r="G14" i="30" a="1"/>
  <c r="G16" i="35" a="1"/>
  <c r="E11" i="30" a="1"/>
  <c r="D8" i="23" a="1"/>
  <c r="D12" i="17" a="1"/>
  <c r="F13" i="35" a="1"/>
  <c r="I10" i="28" a="1"/>
  <c r="D9" i="36" a="1"/>
  <c r="G10" i="33" a="1"/>
  <c r="F15" i="20" a="1"/>
  <c r="F14" i="10" a="1"/>
  <c r="D13" i="36" a="1"/>
  <c r="F7" i="29" a="1"/>
  <c r="E16" i="15" a="1"/>
  <c r="I9" i="29" a="1"/>
  <c r="H7" i="13" a="1"/>
  <c r="H9" i="13" a="1"/>
  <c r="G16" i="24" a="1"/>
  <c r="H12" i="11" a="1"/>
  <c r="D6" i="11" a="1"/>
  <c r="F16" i="16" a="1"/>
  <c r="I15" i="15" a="1"/>
  <c r="G12" i="14" a="1"/>
  <c r="F14" i="19" a="1"/>
  <c r="H9" i="34" a="1"/>
  <c r="F6" i="23" a="1"/>
  <c r="D13" i="28" a="1"/>
  <c r="E15" i="27" a="1"/>
  <c r="I10" i="25" a="1"/>
  <c r="E11" i="17" a="1"/>
  <c r="I10" i="10" a="1"/>
  <c r="D15" i="25" a="1"/>
  <c r="E8" i="9" a="1"/>
  <c r="F17" i="36" a="1"/>
  <c r="D17" i="29" a="1"/>
  <c r="F9" i="1" a="1"/>
  <c r="E11" i="31" a="1"/>
  <c r="F14" i="34" a="1"/>
  <c r="H6" i="28" a="1"/>
  <c r="F6" i="17" a="1"/>
  <c r="G17" i="24" a="1"/>
  <c r="I16" i="20" a="1"/>
  <c r="I9" i="8" a="1"/>
  <c r="F8" i="12" a="1"/>
  <c r="E8" i="28" a="1"/>
  <c r="I15" i="30" a="1"/>
  <c r="E13" i="27" a="1"/>
  <c r="H16" i="12" a="1"/>
  <c r="H13" i="1" a="1"/>
  <c r="F7" i="8" a="1"/>
  <c r="I6" i="9" a="1"/>
  <c r="F17" i="25" a="1"/>
  <c r="G16" i="17" a="1"/>
  <c r="E10" i="25" a="1"/>
  <c r="H9" i="26" a="1"/>
  <c r="I6" i="16" a="1"/>
  <c r="H14" i="17" a="1"/>
  <c r="G13" i="18" a="1"/>
  <c r="I14" i="34" a="1"/>
  <c r="D14" i="36" a="1"/>
  <c r="H15" i="35" a="1"/>
  <c r="F7" i="23" a="1"/>
  <c r="H10" i="33" a="1"/>
  <c r="I17" i="27" a="1"/>
  <c r="F11" i="28" a="1"/>
  <c r="E17" i="1" a="1"/>
  <c r="H10" i="7" a="1"/>
  <c r="D10" i="37" a="1"/>
  <c r="D11" i="19" a="1"/>
  <c r="G13" i="9" a="1"/>
  <c r="I6" i="7" a="1"/>
  <c r="D9" i="18" a="1"/>
  <c r="F15" i="36" a="1"/>
  <c r="H9" i="1" a="1"/>
  <c r="G17" i="11" a="1"/>
  <c r="D11" i="24" a="1"/>
  <c r="G14" i="13" a="1"/>
  <c r="F11" i="35" a="1"/>
  <c r="F6" i="1" a="1"/>
  <c r="G10" i="27" a="1"/>
  <c r="F8" i="37" a="1"/>
  <c r="G7" i="36" a="1"/>
  <c r="H13" i="15" a="1"/>
  <c r="F14" i="14" a="1"/>
  <c r="G12" i="28" a="1"/>
  <c r="E16" i="9" a="1"/>
  <c r="E9" i="13" a="1"/>
  <c r="F11" i="24" a="1"/>
  <c r="E10" i="12" a="1"/>
  <c r="I17" i="16" a="1"/>
  <c r="I6" i="35" a="1"/>
  <c r="D10" i="23" a="1"/>
  <c r="H11" i="27" a="1"/>
  <c r="F13" i="1" a="1"/>
  <c r="H12" i="20" a="1"/>
  <c r="I6" i="18" a="1"/>
  <c r="I15" i="24" a="1"/>
  <c r="I8" i="7" a="1"/>
  <c r="I7" i="16" a="1"/>
  <c r="D16" i="31" a="1"/>
  <c r="D8" i="29" a="1"/>
  <c r="G11" i="19" a="1"/>
  <c r="G7" i="37" a="1"/>
  <c r="I17" i="36" a="1"/>
  <c r="F15" i="26" a="1"/>
  <c r="H11" i="26" a="1"/>
  <c r="I14" i="8" a="1"/>
  <c r="H13" i="8" a="1"/>
  <c r="D17" i="8" a="1"/>
  <c r="D7" i="32" a="1"/>
  <c r="D13" i="8" a="1"/>
  <c r="I12" i="26" a="1"/>
  <c r="I9" i="7" a="1"/>
  <c r="G9" i="34" a="1"/>
  <c r="D7" i="26" a="1"/>
  <c r="H11" i="34" a="1"/>
  <c r="E7" i="28" a="1"/>
  <c r="D6" i="37" a="1"/>
  <c r="G8" i="24" a="1"/>
  <c r="F9" i="37" a="1"/>
  <c r="F10" i="1" a="1"/>
  <c r="F11" i="12" a="1"/>
  <c r="H15" i="34" a="1"/>
  <c r="H8" i="9" a="1"/>
  <c r="G11" i="23" a="1"/>
  <c r="E11" i="11" a="1"/>
  <c r="H11" i="8" a="1"/>
  <c r="H12" i="28" a="1"/>
  <c r="I15" i="16" a="1"/>
  <c r="G6" i="15" a="1"/>
  <c r="E14" i="31" a="1"/>
  <c r="D12" i="27" a="1"/>
  <c r="G13" i="24" a="1"/>
  <c r="I16" i="7" a="1"/>
  <c r="D14" i="25" a="1"/>
  <c r="H14" i="15" a="1"/>
  <c r="I9" i="14" a="1"/>
  <c r="F8" i="36" a="1"/>
  <c r="H9" i="37" a="1"/>
  <c r="E6" i="36" a="1"/>
  <c r="I16" i="31" a="1"/>
  <c r="F13" i="7" a="1"/>
  <c r="H15" i="10" a="1"/>
  <c r="G13" i="35" a="1"/>
  <c r="D8" i="32" a="1"/>
  <c r="E10" i="35" a="1"/>
  <c r="G16" i="16" a="1"/>
  <c r="D16" i="16" a="1"/>
  <c r="G14" i="14" a="1"/>
  <c r="G16" i="32" a="1"/>
  <c r="H9" i="14" a="1"/>
  <c r="G6" i="35" a="1"/>
  <c r="I10" i="7" a="1"/>
  <c r="I8" i="19" a="1"/>
  <c r="F9" i="31" a="1"/>
  <c r="E12" i="20" a="1"/>
  <c r="E15" i="37" a="1"/>
  <c r="I11" i="15" a="1"/>
  <c r="F11" i="27" a="1"/>
  <c r="E7" i="33" a="1"/>
  <c r="H10" i="21" a="1"/>
  <c r="I10" i="32" a="1"/>
  <c r="G12" i="37" a="1"/>
  <c r="D7" i="14" a="1"/>
  <c r="E14" i="29" a="1"/>
  <c r="E6" i="32" a="1"/>
  <c r="G10" i="7" a="1"/>
  <c r="H11" i="7" a="1"/>
  <c r="F15" i="19" a="1"/>
  <c r="I17" i="29" a="1"/>
  <c r="D14" i="33" a="1"/>
  <c r="E17" i="20" a="1"/>
  <c r="F16" i="12" a="1"/>
  <c r="H7" i="28" a="1"/>
  <c r="D17" i="17" a="1"/>
  <c r="G6" i="8" a="1"/>
  <c r="I7" i="30" a="1"/>
  <c r="G11" i="24" a="1"/>
  <c r="F12" i="18" a="1"/>
  <c r="I17" i="28" a="1"/>
  <c r="I17" i="26" a="1"/>
  <c r="G7" i="18" a="1"/>
  <c r="E11" i="21" a="1"/>
  <c r="I15" i="37" a="1"/>
  <c r="D6" i="17" a="1"/>
  <c r="D11" i="28" a="1"/>
  <c r="F17" i="9" a="1"/>
  <c r="E11" i="1" a="1"/>
  <c r="G11" i="9" a="1"/>
  <c r="I11" i="13" a="1"/>
  <c r="H12" i="18" a="1"/>
  <c r="H10" i="26" a="1"/>
  <c r="F11" i="13" a="1"/>
  <c r="F6" i="24" a="1"/>
  <c r="D9" i="14" a="1"/>
  <c r="H8" i="31" a="1"/>
  <c r="G9" i="18" a="1"/>
  <c r="H8" i="36" a="1"/>
  <c r="F10" i="33" a="1"/>
  <c r="I14" i="32" a="1"/>
  <c r="E16" i="10" a="1"/>
  <c r="F16" i="31" a="1"/>
  <c r="E17" i="12" a="1"/>
  <c r="E10" i="28" a="1"/>
  <c r="F12" i="35" a="1"/>
  <c r="F12" i="35" l="1"/>
  <c r="AD12" i="35" s="1"/>
  <c r="E10" i="28"/>
  <c r="E17" i="12"/>
  <c r="F16" i="31"/>
  <c r="AD16" i="31" s="1"/>
  <c r="E16" i="10"/>
  <c r="I14" i="32"/>
  <c r="F10" i="33"/>
  <c r="AD10" i="33" s="1"/>
  <c r="H8" i="36"/>
  <c r="G9" i="18"/>
  <c r="H8" i="31"/>
  <c r="D9" i="14"/>
  <c r="F6" i="24"/>
  <c r="AD6" i="24" s="1"/>
  <c r="F11" i="13"/>
  <c r="AD11" i="13" s="1"/>
  <c r="H10" i="26"/>
  <c r="AF10" i="26" s="1"/>
  <c r="H12" i="18"/>
  <c r="I11" i="13"/>
  <c r="G11" i="9"/>
  <c r="E11" i="1"/>
  <c r="F17" i="9"/>
  <c r="AD17" i="9" s="1"/>
  <c r="D11" i="28"/>
  <c r="D6" i="17"/>
  <c r="I15" i="37"/>
  <c r="E11" i="21"/>
  <c r="G7" i="18"/>
  <c r="I17" i="26"/>
  <c r="I17" i="28"/>
  <c r="AG17" i="28" s="1"/>
  <c r="F12" i="18"/>
  <c r="AD12" i="18" s="1"/>
  <c r="G11" i="24"/>
  <c r="AE11" i="24" s="1"/>
  <c r="I7" i="30"/>
  <c r="G6" i="8"/>
  <c r="D17" i="17"/>
  <c r="H7" i="28"/>
  <c r="F16" i="12"/>
  <c r="AD16" i="12" s="1"/>
  <c r="E17" i="20"/>
  <c r="D14" i="33"/>
  <c r="I17" i="29"/>
  <c r="AG17" i="29" s="1"/>
  <c r="F15" i="19"/>
  <c r="AD15" i="19" s="1"/>
  <c r="H11" i="7"/>
  <c r="G10" i="7"/>
  <c r="E6" i="32"/>
  <c r="AB6" i="32" s="1" a="1"/>
  <c r="AB6" i="32" s="1"/>
  <c r="E14" i="29"/>
  <c r="AB14" i="29" s="1" a="1"/>
  <c r="AB14" i="29" s="1"/>
  <c r="D7" i="14"/>
  <c r="G12" i="37"/>
  <c r="I10" i="32"/>
  <c r="H10" i="21"/>
  <c r="E7" i="33"/>
  <c r="F11" i="27"/>
  <c r="AD11" i="27" s="1"/>
  <c r="I11" i="15"/>
  <c r="E15" i="37"/>
  <c r="E12" i="20"/>
  <c r="F9" i="31"/>
  <c r="AD9" i="31" s="1"/>
  <c r="I8" i="19"/>
  <c r="I10" i="7"/>
  <c r="G6" i="35"/>
  <c r="AE6" i="35" s="1"/>
  <c r="H9" i="14"/>
  <c r="AF9" i="14" s="1"/>
  <c r="G16" i="32"/>
  <c r="AE16" i="32" s="1"/>
  <c r="G14" i="14"/>
  <c r="D16" i="16"/>
  <c r="G16" i="16"/>
  <c r="E10" i="35"/>
  <c r="D8" i="32"/>
  <c r="G13" i="35"/>
  <c r="H15" i="10"/>
  <c r="F13" i="7"/>
  <c r="AD13" i="7" s="1"/>
  <c r="I16" i="31"/>
  <c r="E6" i="36"/>
  <c r="H9" i="37"/>
  <c r="F8" i="36"/>
  <c r="AD8" i="36" s="1"/>
  <c r="I9" i="14"/>
  <c r="H14" i="15"/>
  <c r="AF14" i="15" s="1"/>
  <c r="D14" i="25"/>
  <c r="I16" i="7"/>
  <c r="G13" i="24"/>
  <c r="D12" i="27"/>
  <c r="E14" i="31"/>
  <c r="G6" i="15"/>
  <c r="I15" i="16"/>
  <c r="H12" i="28"/>
  <c r="H11" i="8"/>
  <c r="AF11" i="8" s="1"/>
  <c r="E11" i="11"/>
  <c r="G11" i="23"/>
  <c r="AE11" i="23" s="1"/>
  <c r="H8" i="9"/>
  <c r="H15" i="34"/>
  <c r="AF15" i="34" s="1"/>
  <c r="F11" i="12"/>
  <c r="AD11" i="12" s="1"/>
  <c r="F10" i="1"/>
  <c r="AD10" i="1" s="1"/>
  <c r="F9" i="37"/>
  <c r="AD9" i="37" s="1"/>
  <c r="G8" i="24"/>
  <c r="D6" i="37"/>
  <c r="E7" i="28"/>
  <c r="H11" i="34"/>
  <c r="D7" i="26"/>
  <c r="G9" i="34"/>
  <c r="I9" i="7"/>
  <c r="I12" i="26"/>
  <c r="D13" i="8"/>
  <c r="D7" i="32"/>
  <c r="D17" i="8"/>
  <c r="H13" i="8"/>
  <c r="AF13" i="8" s="1"/>
  <c r="I14" i="8"/>
  <c r="H11" i="26"/>
  <c r="F15" i="26"/>
  <c r="AD15" i="26" s="1"/>
  <c r="I17" i="36"/>
  <c r="G7" i="37"/>
  <c r="G11" i="19"/>
  <c r="D8" i="29"/>
  <c r="D16" i="31"/>
  <c r="I7" i="16"/>
  <c r="I8" i="7"/>
  <c r="I15" i="24"/>
  <c r="I6" i="18"/>
  <c r="AG6" i="18" s="1"/>
  <c r="H12" i="20"/>
  <c r="F13" i="1"/>
  <c r="AD13" i="1" s="1"/>
  <c r="H11" i="27"/>
  <c r="D10" i="23"/>
  <c r="I6" i="35"/>
  <c r="I17" i="16"/>
  <c r="E10" i="12"/>
  <c r="F11" i="24"/>
  <c r="AD11" i="24" s="1"/>
  <c r="E9" i="13"/>
  <c r="E16" i="9"/>
  <c r="G12" i="28"/>
  <c r="F14" i="14"/>
  <c r="AD14" i="14" s="1"/>
  <c r="H13" i="15"/>
  <c r="G7" i="36"/>
  <c r="F8" i="37"/>
  <c r="AD8" i="37" s="1"/>
  <c r="G10" i="27"/>
  <c r="F6" i="1"/>
  <c r="AD6" i="1" s="1"/>
  <c r="F11" i="35"/>
  <c r="AD11" i="35" s="1"/>
  <c r="G14" i="13"/>
  <c r="D11" i="24"/>
  <c r="G17" i="11"/>
  <c r="H9" i="1"/>
  <c r="F15" i="36"/>
  <c r="AD15" i="36" s="1"/>
  <c r="D9" i="18"/>
  <c r="I6" i="7"/>
  <c r="AG6" i="7" s="1"/>
  <c r="G13" i="9"/>
  <c r="D11" i="19"/>
  <c r="D10" i="37"/>
  <c r="H10" i="7"/>
  <c r="AF10" i="7" s="1"/>
  <c r="E17" i="1"/>
  <c r="AB17" i="1" s="1" a="1"/>
  <c r="AB17" i="1" s="1"/>
  <c r="F11" i="28"/>
  <c r="AD11" i="28" s="1"/>
  <c r="I17" i="27"/>
  <c r="H10" i="33"/>
  <c r="F7" i="23"/>
  <c r="AD7" i="23" s="1"/>
  <c r="H15" i="35"/>
  <c r="D14" i="36"/>
  <c r="I14" i="34"/>
  <c r="G13" i="18"/>
  <c r="H14" i="17"/>
  <c r="I6" i="16"/>
  <c r="H9" i="26"/>
  <c r="AF9" i="26" s="1"/>
  <c r="E10" i="25"/>
  <c r="AB10" i="25" s="1" a="1"/>
  <c r="AB10" i="25" s="1"/>
  <c r="G16" i="17"/>
  <c r="AE16" i="17" s="1"/>
  <c r="F17" i="25"/>
  <c r="AD17" i="25" s="1"/>
  <c r="I6" i="9"/>
  <c r="F7" i="8"/>
  <c r="AD7" i="8" s="1"/>
  <c r="H13" i="1"/>
  <c r="H16" i="12"/>
  <c r="AF16" i="12" s="1"/>
  <c r="E13" i="27"/>
  <c r="I15" i="30"/>
  <c r="E8" i="28"/>
  <c r="F8" i="12"/>
  <c r="AD8" i="12" s="1"/>
  <c r="I9" i="8"/>
  <c r="I16" i="20"/>
  <c r="G17" i="24"/>
  <c r="F6" i="17"/>
  <c r="AD6" i="17" s="1"/>
  <c r="H6" i="28"/>
  <c r="AF6" i="28" s="1"/>
  <c r="F14" i="34"/>
  <c r="AD14" i="34" s="1"/>
  <c r="E11" i="31"/>
  <c r="F9" i="1"/>
  <c r="AD9" i="1" s="1"/>
  <c r="D17" i="29"/>
  <c r="F17" i="36"/>
  <c r="AD17" i="36" s="1"/>
  <c r="E8" i="9"/>
  <c r="D15" i="25"/>
  <c r="I10" i="10"/>
  <c r="E11" i="17"/>
  <c r="I10" i="25"/>
  <c r="E15" i="27"/>
  <c r="D13" i="28"/>
  <c r="F6" i="23"/>
  <c r="AD6" i="23" s="1"/>
  <c r="H9" i="34"/>
  <c r="AF9" i="34" s="1"/>
  <c r="F14" i="19"/>
  <c r="AD14" i="19" s="1"/>
  <c r="G12" i="14"/>
  <c r="I15" i="15"/>
  <c r="F16" i="16"/>
  <c r="AD16" i="16" s="1"/>
  <c r="D6" i="11"/>
  <c r="H12" i="11"/>
  <c r="G16" i="24"/>
  <c r="H9" i="13"/>
  <c r="H7" i="13"/>
  <c r="I9" i="29"/>
  <c r="E16" i="15"/>
  <c r="AB16" i="15" s="1" a="1"/>
  <c r="AB16" i="15" s="1"/>
  <c r="F7" i="29"/>
  <c r="AD7" i="29" s="1"/>
  <c r="D13" i="36"/>
  <c r="F14" i="10"/>
  <c r="AD14" i="10" s="1"/>
  <c r="F15" i="20"/>
  <c r="AD15" i="20" s="1"/>
  <c r="G10" i="33"/>
  <c r="D9" i="36"/>
  <c r="I10" i="28"/>
  <c r="F13" i="35"/>
  <c r="AD13" i="35" s="1"/>
  <c r="D12" i="17"/>
  <c r="D8" i="23"/>
  <c r="E11" i="30"/>
  <c r="G16" i="35"/>
  <c r="G14" i="30"/>
  <c r="D16" i="32"/>
  <c r="G17" i="32"/>
  <c r="H13" i="14"/>
  <c r="AF13" i="14" s="1"/>
  <c r="I15" i="20"/>
  <c r="AG15" i="20" s="1"/>
  <c r="F11" i="7"/>
  <c r="AD11" i="7" s="1"/>
  <c r="D17" i="37"/>
  <c r="H14" i="12"/>
  <c r="F13" i="19"/>
  <c r="AD13" i="19" s="1"/>
  <c r="D14" i="16"/>
  <c r="D9" i="23"/>
  <c r="E7" i="13"/>
  <c r="D13" i="20"/>
  <c r="G6" i="20"/>
  <c r="E17" i="33"/>
  <c r="D6" i="14"/>
  <c r="H13" i="17"/>
  <c r="AF13" i="17" s="1"/>
  <c r="F12" i="30"/>
  <c r="AD12" i="30" s="1"/>
  <c r="E12" i="24"/>
  <c r="AB12" i="24" s="1" a="1"/>
  <c r="AB12" i="24" s="1"/>
  <c r="D16" i="8"/>
  <c r="H11" i="31"/>
  <c r="H8" i="37"/>
  <c r="H8" i="1"/>
  <c r="F15" i="25"/>
  <c r="AD15" i="25" s="1"/>
  <c r="H9" i="10"/>
  <c r="AF9" i="10" s="1"/>
  <c r="D14" i="11"/>
  <c r="H7" i="32"/>
  <c r="D13" i="34"/>
  <c r="E7" i="32"/>
  <c r="F11" i="8"/>
  <c r="AD11" i="8" s="1"/>
  <c r="H10" i="34"/>
  <c r="AF10" i="34" s="1"/>
  <c r="D12" i="9"/>
  <c r="G10" i="25"/>
  <c r="AE10" i="25" s="1"/>
  <c r="H11" i="30"/>
  <c r="AF11" i="30" s="1"/>
  <c r="D11" i="15"/>
  <c r="I15" i="23"/>
  <c r="I10" i="12"/>
  <c r="E17" i="10"/>
  <c r="F14" i="35"/>
  <c r="AD14" i="35" s="1"/>
  <c r="D11" i="20"/>
  <c r="F7" i="7"/>
  <c r="AD7" i="7" s="1"/>
  <c r="I13" i="31"/>
  <c r="F12" i="17"/>
  <c r="AD12" i="17" s="1"/>
  <c r="D9" i="30"/>
  <c r="G14" i="17"/>
  <c r="AE14" i="17" s="1"/>
  <c r="H9" i="8"/>
  <c r="AF9" i="8" s="1"/>
  <c r="D9" i="7"/>
  <c r="E10" i="34"/>
  <c r="AB10" i="34" s="1" a="1"/>
  <c r="AB10" i="34" s="1"/>
  <c r="H16" i="17"/>
  <c r="E11" i="12"/>
  <c r="I9" i="36"/>
  <c r="D6" i="9"/>
  <c r="E15" i="31"/>
  <c r="H15" i="21"/>
  <c r="I16" i="25"/>
  <c r="F8" i="11"/>
  <c r="AD8" i="11" s="1"/>
  <c r="E9" i="8"/>
  <c r="AB9" i="8" s="1" a="1"/>
  <c r="AB9" i="8" s="1"/>
  <c r="E16" i="37"/>
  <c r="AB16" i="37" s="1" a="1"/>
  <c r="AB16" i="37" s="1"/>
  <c r="F12" i="14"/>
  <c r="AD12" i="14" s="1"/>
  <c r="G14" i="15"/>
  <c r="AE14" i="15" s="1"/>
  <c r="D8" i="17"/>
  <c r="I10" i="8"/>
  <c r="E16" i="26"/>
  <c r="F6" i="13"/>
  <c r="AD6" i="13" s="1"/>
  <c r="G8" i="33"/>
  <c r="G9" i="14"/>
  <c r="F13" i="26"/>
  <c r="AD13" i="26" s="1"/>
  <c r="I10" i="1"/>
  <c r="AG10" i="1" s="1"/>
  <c r="E13" i="32"/>
  <c r="I7" i="17"/>
  <c r="D7" i="29"/>
  <c r="H16" i="8"/>
  <c r="I6" i="28"/>
  <c r="D13" i="25"/>
  <c r="E15" i="35"/>
  <c r="AB15" i="35" s="1" a="1"/>
  <c r="AB15" i="35" s="1"/>
  <c r="E10" i="10"/>
  <c r="AB10" i="10" s="1" a="1"/>
  <c r="AB10" i="10" s="1"/>
  <c r="F13" i="11"/>
  <c r="AD13" i="11" s="1"/>
  <c r="E15" i="17"/>
  <c r="F17" i="29"/>
  <c r="AD17" i="29" s="1"/>
  <c r="D7" i="37"/>
  <c r="G13" i="37"/>
  <c r="G11" i="13"/>
  <c r="F6" i="15"/>
  <c r="AD6" i="15" s="1"/>
  <c r="G15" i="37"/>
  <c r="H6" i="25"/>
  <c r="H9" i="11"/>
  <c r="E10" i="11"/>
  <c r="AB10" i="11" s="1" a="1"/>
  <c r="AB10" i="11" s="1"/>
  <c r="D14" i="32"/>
  <c r="H13" i="21"/>
  <c r="AF13" i="21" s="1"/>
  <c r="D13" i="37"/>
  <c r="D13" i="35"/>
  <c r="E15" i="25"/>
  <c r="H8" i="20"/>
  <c r="H13" i="26"/>
  <c r="I16" i="13"/>
  <c r="H10" i="12"/>
  <c r="H11" i="23"/>
  <c r="I14" i="18"/>
  <c r="E15" i="34"/>
  <c r="F10" i="15"/>
  <c r="AD10" i="15" s="1"/>
  <c r="F16" i="19"/>
  <c r="AD16" i="19" s="1"/>
  <c r="F17" i="15"/>
  <c r="AD17" i="15" s="1"/>
  <c r="H7" i="16"/>
  <c r="AF7" i="16" s="1"/>
  <c r="H16" i="7"/>
  <c r="AF16" i="7" s="1"/>
  <c r="H16" i="23"/>
  <c r="G16" i="12"/>
  <c r="G16" i="11"/>
  <c r="G12" i="23"/>
  <c r="H10" i="10"/>
  <c r="G6" i="37"/>
  <c r="G12" i="32"/>
  <c r="H12" i="13"/>
  <c r="H11" i="28"/>
  <c r="G8" i="18"/>
  <c r="I14" i="21"/>
  <c r="H16" i="35"/>
  <c r="AF16" i="35" s="1"/>
  <c r="F7" i="26"/>
  <c r="AD7" i="26" s="1"/>
  <c r="F17" i="27"/>
  <c r="AD17" i="27" s="1"/>
  <c r="I17" i="35"/>
  <c r="E17" i="18"/>
  <c r="E14" i="30"/>
  <c r="H12" i="12"/>
  <c r="H13" i="37"/>
  <c r="AF13" i="37" s="1"/>
  <c r="E9" i="20"/>
  <c r="D8" i="13"/>
  <c r="D15" i="9"/>
  <c r="G14" i="24"/>
  <c r="D7" i="25"/>
  <c r="H17" i="12"/>
  <c r="AF17" i="12" s="1"/>
  <c r="E7" i="9"/>
  <c r="AB7" i="9" s="1" a="1"/>
  <c r="AB7" i="9" s="1"/>
  <c r="E15" i="30"/>
  <c r="AB15" i="30" s="1" a="1"/>
  <c r="AB15" i="30" s="1"/>
  <c r="E14" i="36"/>
  <c r="AB14" i="36" s="1" a="1"/>
  <c r="AB14" i="36" s="1"/>
  <c r="E13" i="9"/>
  <c r="H6" i="17"/>
  <c r="G13" i="30"/>
  <c r="H7" i="12"/>
  <c r="AF7" i="12" s="1"/>
  <c r="G14" i="16"/>
  <c r="I16" i="9"/>
  <c r="AG16" i="9" s="1"/>
  <c r="G11" i="31"/>
  <c r="E9" i="29"/>
  <c r="E6" i="7"/>
  <c r="G13" i="20"/>
  <c r="H9" i="12"/>
  <c r="E15" i="20"/>
  <c r="AB15" i="20" s="1" a="1"/>
  <c r="AB15" i="20" s="1"/>
  <c r="D6" i="18"/>
  <c r="G15" i="14"/>
  <c r="AE15" i="14" s="1"/>
  <c r="D10" i="11"/>
  <c r="H13" i="31"/>
  <c r="F13" i="10"/>
  <c r="AD13" i="10" s="1"/>
  <c r="E9" i="24"/>
  <c r="H8" i="17"/>
  <c r="D7" i="13"/>
  <c r="D10" i="9"/>
  <c r="D14" i="17"/>
  <c r="F12" i="24"/>
  <c r="AD12" i="24" s="1"/>
  <c r="G7" i="25"/>
  <c r="F8" i="35"/>
  <c r="AD8" i="35" s="1"/>
  <c r="F8" i="26"/>
  <c r="AD8" i="26" s="1"/>
  <c r="I8" i="18"/>
  <c r="AG8" i="18" s="1"/>
  <c r="G6" i="16"/>
  <c r="AE6" i="16" s="1"/>
  <c r="F6" i="18"/>
  <c r="AD6" i="18" s="1"/>
  <c r="G10" i="13"/>
  <c r="H17" i="28"/>
  <c r="D9" i="15"/>
  <c r="F11" i="18"/>
  <c r="AD11" i="18" s="1"/>
  <c r="D8" i="1"/>
  <c r="E13" i="15"/>
  <c r="E7" i="1"/>
  <c r="E15" i="7"/>
  <c r="H10" i="24"/>
  <c r="D6" i="12"/>
  <c r="F14" i="36"/>
  <c r="AD14" i="36" s="1"/>
  <c r="F9" i="36"/>
  <c r="AD9" i="36" s="1"/>
  <c r="I13" i="21"/>
  <c r="AG13" i="21" s="1"/>
  <c r="H12" i="29"/>
  <c r="E14" i="32"/>
  <c r="F7" i="21"/>
  <c r="AD7" i="21" s="1"/>
  <c r="H14" i="13"/>
  <c r="AF14" i="13" s="1"/>
  <c r="I15" i="35"/>
  <c r="AG15" i="35" s="1"/>
  <c r="D11" i="37"/>
  <c r="F9" i="24"/>
  <c r="AD9" i="24" s="1"/>
  <c r="H14" i="10"/>
  <c r="D6" i="15"/>
  <c r="E8" i="15"/>
  <c r="F13" i="14"/>
  <c r="AD13" i="14" s="1"/>
  <c r="E8" i="17"/>
  <c r="F10" i="10"/>
  <c r="AD10" i="10" s="1"/>
  <c r="F6" i="34"/>
  <c r="AD6" i="34" s="1"/>
  <c r="G10" i="8"/>
  <c r="G8" i="26"/>
  <c r="D11" i="25"/>
  <c r="F13" i="33"/>
  <c r="AD13" i="33" s="1"/>
  <c r="E12" i="8"/>
  <c r="D17" i="15"/>
  <c r="G7" i="29"/>
  <c r="D16" i="20"/>
  <c r="F16" i="33"/>
  <c r="AD16" i="33" s="1"/>
  <c r="E8" i="24"/>
  <c r="AB8" i="24" s="1" a="1"/>
  <c r="AB8" i="24" s="1"/>
  <c r="F16" i="30"/>
  <c r="AD16" i="30" s="1"/>
  <c r="H12" i="37"/>
  <c r="AF12" i="37" s="1"/>
  <c r="E15" i="33"/>
  <c r="AB15" i="33" s="1" a="1"/>
  <c r="AB15" i="33" s="1"/>
  <c r="H17" i="21"/>
  <c r="AF17" i="21" s="1"/>
  <c r="G17" i="25"/>
  <c r="H8" i="26"/>
  <c r="AF8" i="26" s="1"/>
  <c r="D16" i="14"/>
  <c r="H16" i="16"/>
  <c r="AF16" i="16" s="1"/>
  <c r="I13" i="15"/>
  <c r="E11" i="20"/>
  <c r="AB11" i="20" s="1" a="1"/>
  <c r="AB11" i="20" s="1"/>
  <c r="D12" i="29"/>
  <c r="D16" i="10"/>
  <c r="E6" i="12"/>
  <c r="F12" i="11"/>
  <c r="AD12" i="11" s="1"/>
  <c r="E9" i="26"/>
  <c r="E7" i="31"/>
  <c r="AB7" i="31" s="1" a="1"/>
  <c r="AB7" i="31" s="1"/>
  <c r="E11" i="14"/>
  <c r="AB11" i="14" s="1" a="1"/>
  <c r="AB11" i="14" s="1"/>
  <c r="G16" i="26"/>
  <c r="AE16" i="26" s="1"/>
  <c r="H16" i="26"/>
  <c r="D16" i="13"/>
  <c r="I12" i="29"/>
  <c r="F7" i="1"/>
  <c r="AD7" i="1" s="1"/>
  <c r="G11" i="26"/>
  <c r="H13" i="23"/>
  <c r="G12" i="29"/>
  <c r="D16" i="37"/>
  <c r="H17" i="20"/>
  <c r="I12" i="34"/>
  <c r="AG12" i="34" s="1"/>
  <c r="F9" i="20"/>
  <c r="AD9" i="20" s="1"/>
  <c r="G16" i="20"/>
  <c r="H11" i="32"/>
  <c r="AF11" i="32" s="1"/>
  <c r="I15" i="12"/>
  <c r="AG15" i="12" s="1"/>
  <c r="D15" i="21"/>
  <c r="E8" i="18"/>
  <c r="F9" i="21"/>
  <c r="AD9" i="21" s="1"/>
  <c r="H7" i="7"/>
  <c r="E13" i="12"/>
  <c r="AB13" i="12" s="1" a="1"/>
  <c r="AB13" i="12" s="1"/>
  <c r="H17" i="11"/>
  <c r="AF17" i="11" s="1"/>
  <c r="D9" i="33"/>
  <c r="G7" i="20"/>
  <c r="E9" i="9"/>
  <c r="I12" i="1"/>
  <c r="H6" i="13"/>
  <c r="D8" i="8"/>
  <c r="I7" i="23"/>
  <c r="AG7" i="23" s="1"/>
  <c r="I9" i="27"/>
  <c r="AG9" i="27" s="1"/>
  <c r="E11" i="23"/>
  <c r="F10" i="28"/>
  <c r="AD10" i="28" s="1"/>
  <c r="H7" i="27"/>
  <c r="H14" i="16"/>
  <c r="H16" i="31"/>
  <c r="AF16" i="31" s="1"/>
  <c r="E17" i="31"/>
  <c r="F13" i="12"/>
  <c r="AD13" i="12" s="1"/>
  <c r="E15" i="28"/>
  <c r="E16" i="19"/>
  <c r="I8" i="23"/>
  <c r="D8" i="18"/>
  <c r="F12" i="1"/>
  <c r="AD12" i="1" s="1"/>
  <c r="D8" i="7"/>
  <c r="E12" i="26"/>
  <c r="AB12" i="26" s="1" a="1"/>
  <c r="AB12" i="26" s="1"/>
  <c r="H9" i="32"/>
  <c r="F6" i="35"/>
  <c r="AD6" i="35" s="1"/>
  <c r="G6" i="18"/>
  <c r="G9" i="37"/>
  <c r="AE9" i="37" s="1"/>
  <c r="D12" i="28"/>
  <c r="G10" i="20"/>
  <c r="AE10" i="20" s="1"/>
  <c r="H7" i="25"/>
  <c r="I12" i="32"/>
  <c r="D16" i="27"/>
  <c r="E16" i="21"/>
  <c r="I17" i="13"/>
  <c r="H11" i="20"/>
  <c r="G11" i="7"/>
  <c r="E10" i="31"/>
  <c r="AB10" i="31" s="1" a="1"/>
  <c r="AB10" i="31" s="1"/>
  <c r="G7" i="14"/>
  <c r="G6" i="1"/>
  <c r="D7" i="8"/>
  <c r="I11" i="19"/>
  <c r="E15" i="23"/>
  <c r="F17" i="24"/>
  <c r="AD17" i="24" s="1"/>
  <c r="D16" i="15"/>
  <c r="I16" i="17"/>
  <c r="I10" i="9"/>
  <c r="AG10" i="9" s="1"/>
  <c r="H12" i="9"/>
  <c r="I14" i="16"/>
  <c r="H13" i="33"/>
  <c r="F10" i="34"/>
  <c r="AD10" i="34" s="1"/>
  <c r="H8" i="7"/>
  <c r="AF8" i="7" s="1"/>
  <c r="I12" i="18"/>
  <c r="AG12" i="18" s="1"/>
  <c r="G10" i="9"/>
  <c r="I14" i="33"/>
  <c r="I15" i="29"/>
  <c r="F17" i="32"/>
  <c r="AD17" i="32" s="1"/>
  <c r="F14" i="30"/>
  <c r="AD14" i="30" s="1"/>
  <c r="H10" i="9"/>
  <c r="G9" i="8"/>
  <c r="I7" i="32"/>
  <c r="AG7" i="32" s="1"/>
  <c r="H7" i="8"/>
  <c r="E11" i="34"/>
  <c r="G6" i="34"/>
  <c r="H6" i="26"/>
  <c r="AF6" i="26" s="1"/>
  <c r="D14" i="30"/>
  <c r="E17" i="16"/>
  <c r="H12" i="7"/>
  <c r="I17" i="37"/>
  <c r="D13" i="13"/>
  <c r="F12" i="21"/>
  <c r="AD12" i="21" s="1"/>
  <c r="H13" i="36"/>
  <c r="G13" i="28"/>
  <c r="H17" i="16"/>
  <c r="I10" i="36"/>
  <c r="I6" i="34"/>
  <c r="G16" i="33"/>
  <c r="AE16" i="33" s="1"/>
  <c r="D16" i="1"/>
  <c r="H6" i="29"/>
  <c r="AF6" i="29" s="1"/>
  <c r="I13" i="12"/>
  <c r="AG13" i="12" s="1"/>
  <c r="D10" i="1"/>
  <c r="F6" i="20"/>
  <c r="AD6" i="20" s="1"/>
  <c r="H16" i="9"/>
  <c r="I8" i="27"/>
  <c r="F15" i="35"/>
  <c r="AD15" i="35" s="1"/>
  <c r="E11" i="7"/>
  <c r="I11" i="9"/>
  <c r="H16" i="37"/>
  <c r="F16" i="7"/>
  <c r="AD16" i="7" s="1"/>
  <c r="I8" i="16"/>
  <c r="AG8" i="16" s="1"/>
  <c r="F13" i="30"/>
  <c r="AD13" i="30" s="1"/>
  <c r="D7" i="11"/>
  <c r="F12" i="13"/>
  <c r="AD12" i="13" s="1"/>
  <c r="E12" i="9"/>
  <c r="AB12" i="9" s="1" a="1"/>
  <c r="AB12" i="9" s="1"/>
  <c r="I9" i="23"/>
  <c r="E6" i="26"/>
  <c r="F16" i="1"/>
  <c r="AD16" i="1" s="1"/>
  <c r="G14" i="12"/>
  <c r="E6" i="24"/>
  <c r="I14" i="28"/>
  <c r="AG14" i="28" s="1"/>
  <c r="F14" i="18"/>
  <c r="AD14" i="18" s="1"/>
  <c r="H13" i="28"/>
  <c r="AF13" i="28" s="1"/>
  <c r="I8" i="24"/>
  <c r="G17" i="33"/>
  <c r="AE17" i="33" s="1"/>
  <c r="D7" i="20"/>
  <c r="G7" i="16"/>
  <c r="AE7" i="16" s="1"/>
  <c r="H7" i="9"/>
  <c r="AF7" i="9" s="1"/>
  <c r="D14" i="14"/>
  <c r="G8" i="15"/>
  <c r="H11" i="24"/>
  <c r="G6" i="24"/>
  <c r="I17" i="32"/>
  <c r="E12" i="16"/>
  <c r="G16" i="27"/>
  <c r="I8" i="36"/>
  <c r="E16" i="14"/>
  <c r="F14" i="32"/>
  <c r="AD14" i="32" s="1"/>
  <c r="H6" i="15"/>
  <c r="D8" i="30"/>
  <c r="E17" i="25"/>
  <c r="AB17" i="25" s="1" a="1"/>
  <c r="AB17" i="25" s="1"/>
  <c r="H17" i="30"/>
  <c r="I12" i="10"/>
  <c r="AG12" i="10" s="1"/>
  <c r="F8" i="7"/>
  <c r="AD8" i="7" s="1"/>
  <c r="F8" i="30"/>
  <c r="AD8" i="30" s="1"/>
  <c r="F15" i="31"/>
  <c r="AD15" i="31" s="1"/>
  <c r="D11" i="9"/>
  <c r="F11" i="21"/>
  <c r="AD11" i="21" s="1"/>
  <c r="G15" i="36"/>
  <c r="E8" i="10"/>
  <c r="I9" i="25"/>
  <c r="D7" i="21"/>
  <c r="D13" i="17"/>
  <c r="H14" i="1"/>
  <c r="AF14" i="1" s="1"/>
  <c r="G14" i="7"/>
  <c r="F12" i="7"/>
  <c r="AD12" i="7" s="1"/>
  <c r="G13" i="33"/>
  <c r="AE13" i="33" s="1"/>
  <c r="I14" i="24"/>
  <c r="F14" i="15"/>
  <c r="AD14" i="15" s="1"/>
  <c r="G13" i="25"/>
  <c r="D6" i="16"/>
  <c r="G6" i="32"/>
  <c r="H12" i="17"/>
  <c r="F8" i="24"/>
  <c r="AD8" i="24" s="1"/>
  <c r="F13" i="32"/>
  <c r="AD13" i="32" s="1"/>
  <c r="E7" i="30"/>
  <c r="F10" i="12"/>
  <c r="AD10" i="12" s="1"/>
  <c r="H12" i="30"/>
  <c r="I7" i="12"/>
  <c r="AG7" i="12" s="1"/>
  <c r="E6" i="31"/>
  <c r="AB6" i="31" s="1" a="1"/>
  <c r="AB6" i="31" s="1"/>
  <c r="F8" i="19"/>
  <c r="AD8" i="19" s="1"/>
  <c r="I14" i="26"/>
  <c r="G7" i="12"/>
  <c r="I12" i="23"/>
  <c r="H8" i="32"/>
  <c r="I7" i="15"/>
  <c r="E15" i="14"/>
  <c r="AB15" i="14" s="1" a="1"/>
  <c r="AB15" i="14" s="1"/>
  <c r="G17" i="31"/>
  <c r="F15" i="14"/>
  <c r="AD15" i="14" s="1"/>
  <c r="G9" i="26"/>
  <c r="I11" i="36"/>
  <c r="I13" i="29"/>
  <c r="D7" i="34"/>
  <c r="H8" i="35"/>
  <c r="AF8" i="35" s="1"/>
  <c r="F16" i="20"/>
  <c r="AD16" i="20" s="1"/>
  <c r="F7" i="11"/>
  <c r="AD7" i="11" s="1"/>
  <c r="E14" i="14"/>
  <c r="F8" i="8"/>
  <c r="AD8" i="8" s="1"/>
  <c r="E10" i="27"/>
  <c r="G10" i="23"/>
  <c r="H17" i="25"/>
  <c r="AF17" i="25" s="1"/>
  <c r="H7" i="37"/>
  <c r="D8" i="24"/>
  <c r="G17" i="20"/>
  <c r="H9" i="21"/>
  <c r="G10" i="11"/>
  <c r="E13" i="33"/>
  <c r="AB13" i="33" s="1" a="1"/>
  <c r="AB13" i="33" s="1"/>
  <c r="E13" i="1"/>
  <c r="AB13" i="1" s="1" a="1"/>
  <c r="AB13" i="1" s="1"/>
  <c r="E9" i="16"/>
  <c r="AB9" i="16" s="1" a="1"/>
  <c r="AB9" i="16" s="1"/>
  <c r="F10" i="30"/>
  <c r="AD10" i="30" s="1"/>
  <c r="F14" i="31"/>
  <c r="AD14" i="31" s="1"/>
  <c r="D14" i="9"/>
  <c r="F13" i="15"/>
  <c r="AD13" i="15" s="1"/>
  <c r="E14" i="16"/>
  <c r="AB14" i="16" s="1" a="1"/>
  <c r="AB14" i="16" s="1"/>
  <c r="I10" i="14"/>
  <c r="E14" i="21"/>
  <c r="H15" i="7"/>
  <c r="AF15" i="7" s="1"/>
  <c r="G16" i="21"/>
  <c r="F7" i="12"/>
  <c r="AD7" i="12" s="1"/>
  <c r="F15" i="28"/>
  <c r="AD15" i="28" s="1"/>
  <c r="I13" i="23"/>
  <c r="H12" i="15"/>
  <c r="AF12" i="15" s="1"/>
  <c r="G17" i="1"/>
  <c r="AE17" i="1" s="1"/>
  <c r="H8" i="11"/>
  <c r="I13" i="10"/>
  <c r="I11" i="7"/>
  <c r="F10" i="20"/>
  <c r="AD10" i="20" s="1"/>
  <c r="D6" i="36"/>
  <c r="D10" i="13"/>
  <c r="G6" i="7"/>
  <c r="E15" i="11"/>
  <c r="G17" i="13"/>
  <c r="E17" i="9"/>
  <c r="I17" i="34"/>
  <c r="AG17" i="34" s="1"/>
  <c r="F17" i="7"/>
  <c r="AD17" i="7" s="1"/>
  <c r="F17" i="30"/>
  <c r="AD17" i="30" s="1"/>
  <c r="H16" i="18"/>
  <c r="AF16" i="18" s="1"/>
  <c r="G6" i="27"/>
  <c r="I15" i="14"/>
  <c r="I14" i="11"/>
  <c r="H15" i="11"/>
  <c r="I15" i="8"/>
  <c r="H17" i="26"/>
  <c r="AF17" i="26" s="1"/>
  <c r="I14" i="13"/>
  <c r="I9" i="16"/>
  <c r="AG9" i="16" s="1"/>
  <c r="G7" i="32"/>
  <c r="H10" i="35"/>
  <c r="AF10" i="35" s="1"/>
  <c r="G9" i="29"/>
  <c r="AE9" i="29" s="1"/>
  <c r="F15" i="7"/>
  <c r="AD15" i="7" s="1"/>
  <c r="E12" i="15"/>
  <c r="I6" i="37"/>
  <c r="AG6" i="37" s="1"/>
  <c r="G11" i="34"/>
  <c r="I9" i="9"/>
  <c r="I6" i="14"/>
  <c r="H9" i="18"/>
  <c r="G13" i="15"/>
  <c r="AE13" i="15" s="1"/>
  <c r="H17" i="24"/>
  <c r="G10" i="34"/>
  <c r="G7" i="10"/>
  <c r="E16" i="35"/>
  <c r="G6" i="12"/>
  <c r="AE6" i="12" s="1"/>
  <c r="H10" i="18"/>
  <c r="G10" i="18"/>
  <c r="AE10" i="18" s="1"/>
  <c r="G7" i="24"/>
  <c r="I11" i="12"/>
  <c r="AG11" i="12" s="1"/>
  <c r="D7" i="9"/>
  <c r="G9" i="10"/>
  <c r="H16" i="14"/>
  <c r="F6" i="27"/>
  <c r="AD6" i="27" s="1"/>
  <c r="E14" i="25"/>
  <c r="AB14" i="25" s="1" a="1"/>
  <c r="AB14" i="25" s="1"/>
  <c r="D6" i="13"/>
  <c r="F11" i="33"/>
  <c r="AD11" i="33" s="1"/>
  <c r="G9" i="28"/>
  <c r="G10" i="36"/>
  <c r="D7" i="15"/>
  <c r="H16" i="33"/>
  <c r="AF16" i="33" s="1"/>
  <c r="I16" i="1"/>
  <c r="G16" i="34"/>
  <c r="AE16" i="34" s="1"/>
  <c r="E11" i="24"/>
  <c r="AB11" i="24" s="1" a="1"/>
  <c r="AB11" i="24" s="1"/>
  <c r="I13" i="17"/>
  <c r="D11" i="23"/>
  <c r="D17" i="24"/>
  <c r="H10" i="32"/>
  <c r="I14" i="14"/>
  <c r="I8" i="21"/>
  <c r="E13" i="8"/>
  <c r="G10" i="35"/>
  <c r="H6" i="10"/>
  <c r="H17" i="15"/>
  <c r="H8" i="23"/>
  <c r="AF8" i="23" s="1"/>
  <c r="H15" i="20"/>
  <c r="D16" i="17"/>
  <c r="G16" i="29"/>
  <c r="AE16" i="29" s="1"/>
  <c r="AH16" i="29" s="1"/>
  <c r="E10" i="21"/>
  <c r="I7" i="25"/>
  <c r="I14" i="19"/>
  <c r="G9" i="30"/>
  <c r="D10" i="12"/>
  <c r="F9" i="26"/>
  <c r="AD9" i="26" s="1"/>
  <c r="D14" i="21"/>
  <c r="G9" i="33"/>
  <c r="H14" i="33"/>
  <c r="E10" i="36"/>
  <c r="AB10" i="36" s="1" a="1"/>
  <c r="AB10" i="36" s="1"/>
  <c r="G17" i="29"/>
  <c r="AE17" i="29" s="1"/>
  <c r="AH17" i="29" s="1"/>
  <c r="H7" i="21"/>
  <c r="G17" i="16"/>
  <c r="AE17" i="16" s="1"/>
  <c r="G9" i="12"/>
  <c r="D9" i="17"/>
  <c r="G7" i="13"/>
  <c r="F6" i="28"/>
  <c r="AD6" i="28" s="1"/>
  <c r="E17" i="30"/>
  <c r="G15" i="20"/>
  <c r="D9" i="20"/>
  <c r="D10" i="18"/>
  <c r="E15" i="32"/>
  <c r="E9" i="7"/>
  <c r="H12" i="10"/>
  <c r="I11" i="18"/>
  <c r="AG11" i="18" s="1"/>
  <c r="F7" i="15"/>
  <c r="AD7" i="15" s="1"/>
  <c r="F10" i="21"/>
  <c r="AD10" i="21" s="1"/>
  <c r="I13" i="7"/>
  <c r="AG13" i="7" s="1"/>
  <c r="E10" i="8"/>
  <c r="F14" i="1"/>
  <c r="AD14" i="1" s="1"/>
  <c r="E17" i="23"/>
  <c r="D12" i="1"/>
  <c r="H17" i="10"/>
  <c r="AF17" i="10" s="1"/>
  <c r="E9" i="14"/>
  <c r="D14" i="12"/>
  <c r="F6" i="12"/>
  <c r="AD6" i="12" s="1"/>
  <c r="F8" i="13"/>
  <c r="AD8" i="13" s="1"/>
  <c r="I8" i="25"/>
  <c r="G9" i="15"/>
  <c r="F8" i="28"/>
  <c r="AD8" i="28" s="1"/>
  <c r="G6" i="13"/>
  <c r="AE6" i="13" s="1"/>
  <c r="D12" i="35"/>
  <c r="I6" i="10"/>
  <c r="E16" i="25"/>
  <c r="H8" i="33"/>
  <c r="AF8" i="33" s="1"/>
  <c r="H6" i="37"/>
  <c r="D10" i="8"/>
  <c r="E15" i="18"/>
  <c r="AB15" i="18" s="1" a="1"/>
  <c r="AB15" i="18" s="1"/>
  <c r="E16" i="17"/>
  <c r="G8" i="37"/>
  <c r="H7" i="34"/>
  <c r="F13" i="8"/>
  <c r="AD13" i="8" s="1"/>
  <c r="F10" i="7"/>
  <c r="AD10" i="7" s="1"/>
  <c r="I7" i="13"/>
  <c r="AG7" i="13" s="1"/>
  <c r="G17" i="28"/>
  <c r="AE17" i="28" s="1"/>
  <c r="AH17" i="28" s="1"/>
  <c r="F16" i="18"/>
  <c r="AD16" i="18" s="1"/>
  <c r="E6" i="18"/>
  <c r="F6" i="16"/>
  <c r="AD6" i="16" s="1"/>
  <c r="D11" i="13"/>
  <c r="D11" i="32"/>
  <c r="F13" i="36"/>
  <c r="AD13" i="36" s="1"/>
  <c r="D17" i="26"/>
  <c r="I11" i="24"/>
  <c r="F7" i="28"/>
  <c r="AD7" i="28" s="1"/>
  <c r="E12" i="35"/>
  <c r="G9" i="13"/>
  <c r="G12" i="18"/>
  <c r="H15" i="13"/>
  <c r="AF15" i="13" s="1"/>
  <c r="G12" i="11"/>
  <c r="AE12" i="11" s="1"/>
  <c r="G6" i="11"/>
  <c r="AE6" i="11" s="1"/>
  <c r="AH6" i="11" s="1"/>
  <c r="E10" i="20"/>
  <c r="H10" i="30"/>
  <c r="H12" i="32"/>
  <c r="E12" i="25"/>
  <c r="G14" i="21"/>
  <c r="H11" i="1"/>
  <c r="H13" i="25"/>
  <c r="I9" i="21"/>
  <c r="D7" i="1"/>
  <c r="I9" i="24"/>
  <c r="I12" i="19"/>
  <c r="D9" i="12"/>
  <c r="G15" i="9"/>
  <c r="AE15" i="9" s="1"/>
  <c r="H14" i="14"/>
  <c r="AF14" i="14" s="1"/>
  <c r="F14" i="33"/>
  <c r="AD14" i="33" s="1"/>
  <c r="I10" i="21"/>
  <c r="F15" i="30"/>
  <c r="AD15" i="30" s="1"/>
  <c r="D14" i="7"/>
  <c r="G15" i="23"/>
  <c r="G8" i="25"/>
  <c r="F9" i="35"/>
  <c r="AD9" i="35" s="1"/>
  <c r="F14" i="11"/>
  <c r="AD14" i="11" s="1"/>
  <c r="G7" i="28"/>
  <c r="AE7" i="28" s="1"/>
  <c r="H17" i="7"/>
  <c r="I9" i="28"/>
  <c r="E8" i="34"/>
  <c r="AB8" i="34" s="1" a="1"/>
  <c r="AB8" i="34" s="1"/>
  <c r="D16" i="35"/>
  <c r="H11" i="37"/>
  <c r="AF11" i="37" s="1"/>
  <c r="D17" i="33"/>
  <c r="E16" i="29"/>
  <c r="I11" i="31"/>
  <c r="F6" i="36"/>
  <c r="AD6" i="36" s="1"/>
  <c r="F9" i="28"/>
  <c r="AD9" i="28" s="1"/>
  <c r="I11" i="28"/>
  <c r="I10" i="18"/>
  <c r="D13" i="1"/>
  <c r="G11" i="15"/>
  <c r="F12" i="16"/>
  <c r="AD12" i="16" s="1"/>
  <c r="I6" i="1"/>
  <c r="AG6" i="1" s="1"/>
  <c r="H15" i="24"/>
  <c r="AF15" i="24" s="1"/>
  <c r="H15" i="36"/>
  <c r="F14" i="21"/>
  <c r="AD14" i="21" s="1"/>
  <c r="G16" i="23"/>
  <c r="D16" i="23"/>
  <c r="D14" i="15"/>
  <c r="I13" i="36"/>
  <c r="I16" i="10"/>
  <c r="D15" i="12"/>
  <c r="G12" i="26"/>
  <c r="F17" i="33"/>
  <c r="AD17" i="33" s="1"/>
  <c r="H8" i="10"/>
  <c r="E7" i="14"/>
  <c r="G14" i="29"/>
  <c r="D13" i="27"/>
  <c r="I10" i="31"/>
  <c r="AG10" i="31" s="1"/>
  <c r="H12" i="16"/>
  <c r="AF12" i="16" s="1"/>
  <c r="E13" i="23"/>
  <c r="F7" i="13"/>
  <c r="AD7" i="13" s="1"/>
  <c r="E13" i="20"/>
  <c r="G8" i="17"/>
  <c r="E7" i="27"/>
  <c r="E14" i="7"/>
  <c r="AB14" i="7" s="1" a="1"/>
  <c r="AB14" i="7" s="1"/>
  <c r="H6" i="9"/>
  <c r="H12" i="34"/>
  <c r="E12" i="7"/>
  <c r="E12" i="21"/>
  <c r="G14" i="23"/>
  <c r="AE14" i="23" s="1"/>
  <c r="H14" i="20"/>
  <c r="D7" i="23"/>
  <c r="E13" i="31"/>
  <c r="AB13" i="31" s="1" a="1"/>
  <c r="AB13" i="31" s="1"/>
  <c r="D6" i="33"/>
  <c r="E13" i="16"/>
  <c r="I15" i="9"/>
  <c r="E7" i="16"/>
  <c r="D17" i="27"/>
  <c r="G12" i="20"/>
  <c r="H11" i="25"/>
  <c r="H13" i="9"/>
  <c r="I15" i="26"/>
  <c r="AG15" i="26" s="1"/>
  <c r="I10" i="24"/>
  <c r="AG10" i="24" s="1"/>
  <c r="D10" i="34"/>
  <c r="G12" i="21"/>
  <c r="F8" i="31"/>
  <c r="AD8" i="31" s="1"/>
  <c r="D11" i="35"/>
  <c r="D6" i="31"/>
  <c r="D14" i="35"/>
  <c r="I15" i="31"/>
  <c r="H12" i="21"/>
  <c r="D12" i="19"/>
  <c r="G12" i="30"/>
  <c r="I9" i="19"/>
  <c r="H15" i="25"/>
  <c r="F12" i="9"/>
  <c r="AD12" i="9" s="1"/>
  <c r="D7" i="31"/>
  <c r="F11" i="37"/>
  <c r="AD11" i="37" s="1"/>
  <c r="F12" i="12"/>
  <c r="AD12" i="12" s="1"/>
  <c r="E15" i="36"/>
  <c r="D7" i="27"/>
  <c r="I7" i="11"/>
  <c r="F9" i="7"/>
  <c r="AD9" i="7" s="1"/>
  <c r="H14" i="36"/>
  <c r="E17" i="29"/>
  <c r="AB17" i="29" s="1" a="1"/>
  <c r="AB17" i="29" s="1"/>
  <c r="F8" i="18"/>
  <c r="AD8" i="18" s="1"/>
  <c r="G17" i="21"/>
  <c r="G15" i="28"/>
  <c r="I17" i="9"/>
  <c r="I11" i="16"/>
  <c r="D10" i="14"/>
  <c r="G7" i="9"/>
  <c r="F17" i="17"/>
  <c r="AD17" i="17" s="1"/>
  <c r="H14" i="26"/>
  <c r="AF14" i="26" s="1"/>
  <c r="D15" i="36"/>
  <c r="F6" i="25"/>
  <c r="AD6" i="25" s="1"/>
  <c r="E14" i="37"/>
  <c r="E15" i="19"/>
  <c r="G12" i="25"/>
  <c r="I7" i="14"/>
  <c r="H17" i="9"/>
  <c r="F17" i="11"/>
  <c r="AD17" i="11" s="1"/>
  <c r="E9" i="18"/>
  <c r="AB9" i="18" s="1" a="1"/>
  <c r="AB9" i="18" s="1"/>
  <c r="I8" i="10"/>
  <c r="AG8" i="10" s="1"/>
  <c r="D8" i="16"/>
  <c r="E16" i="1"/>
  <c r="D7" i="17"/>
  <c r="F13" i="24"/>
  <c r="AD13" i="24" s="1"/>
  <c r="I12" i="11"/>
  <c r="AG12" i="11" s="1"/>
  <c r="D17" i="32"/>
  <c r="G8" i="10"/>
  <c r="I13" i="28"/>
  <c r="G16" i="28"/>
  <c r="E16" i="31"/>
  <c r="E10" i="16"/>
  <c r="H9" i="33"/>
  <c r="I14" i="9"/>
  <c r="H7" i="29"/>
  <c r="AF7" i="29" s="1"/>
  <c r="D14" i="8"/>
  <c r="G8" i="8"/>
  <c r="AE8" i="8" s="1"/>
  <c r="F8" i="32"/>
  <c r="AD8" i="32" s="1"/>
  <c r="I7" i="33"/>
  <c r="AG7" i="33" s="1"/>
  <c r="E12" i="23"/>
  <c r="AB12" i="23" s="1" a="1"/>
  <c r="AB12" i="23" s="1"/>
  <c r="H6" i="11"/>
  <c r="F9" i="33"/>
  <c r="AD9" i="33" s="1"/>
  <c r="G10" i="24"/>
  <c r="D15" i="20"/>
  <c r="H15" i="28"/>
  <c r="E13" i="36"/>
  <c r="H13" i="27"/>
  <c r="G13" i="12"/>
  <c r="AE13" i="12" s="1"/>
  <c r="E12" i="31"/>
  <c r="E8" i="8"/>
  <c r="D15" i="17"/>
  <c r="G13" i="21"/>
  <c r="AE13" i="21" s="1"/>
  <c r="I15" i="33"/>
  <c r="AG15" i="33" s="1"/>
  <c r="H8" i="30"/>
  <c r="AF8" i="30" s="1"/>
  <c r="G8" i="21"/>
  <c r="F15" i="18"/>
  <c r="AD15" i="18" s="1"/>
  <c r="D17" i="16"/>
  <c r="I8" i="15"/>
  <c r="E7" i="24"/>
  <c r="D13" i="14"/>
  <c r="E13" i="18"/>
  <c r="F17" i="12"/>
  <c r="AD17" i="12" s="1"/>
  <c r="I7" i="35"/>
  <c r="H9" i="9"/>
  <c r="F12" i="34"/>
  <c r="AD12" i="34" s="1"/>
  <c r="I14" i="35"/>
  <c r="AG14" i="35" s="1"/>
  <c r="D17" i="20"/>
  <c r="I14" i="29"/>
  <c r="AG14" i="29" s="1"/>
  <c r="E16" i="13"/>
  <c r="H10" i="1"/>
  <c r="G7" i="30"/>
  <c r="I8" i="35"/>
  <c r="F7" i="34"/>
  <c r="AD7" i="34" s="1"/>
  <c r="I9" i="1"/>
  <c r="AG9" i="1" s="1"/>
  <c r="F17" i="37"/>
  <c r="AD17" i="37" s="1"/>
  <c r="E6" i="35"/>
  <c r="AB6" i="35" s="1" a="1"/>
  <c r="AB6" i="35" s="1"/>
  <c r="G12" i="33"/>
  <c r="I13" i="9"/>
  <c r="AG13" i="9" s="1"/>
  <c r="E13" i="28"/>
  <c r="AB13" i="28" s="1" a="1"/>
  <c r="AB13" i="28" s="1"/>
  <c r="D8" i="36"/>
  <c r="I16" i="8"/>
  <c r="AG16" i="8" s="1"/>
  <c r="G13" i="26"/>
  <c r="AE13" i="26" s="1"/>
  <c r="AH13" i="26" s="1"/>
  <c r="H6" i="1"/>
  <c r="I15" i="28"/>
  <c r="F6" i="30"/>
  <c r="AD6" i="30" s="1"/>
  <c r="D15" i="27"/>
  <c r="I12" i="14"/>
  <c r="AG12" i="14" s="1"/>
  <c r="H7" i="20"/>
  <c r="E7" i="11"/>
  <c r="H16" i="25"/>
  <c r="H17" i="35"/>
  <c r="G15" i="24"/>
  <c r="E10" i="17"/>
  <c r="AB10" i="17" s="1" a="1"/>
  <c r="AB10" i="17" s="1"/>
  <c r="D8" i="9"/>
  <c r="E12" i="28"/>
  <c r="AB12" i="28" s="1" a="1"/>
  <c r="AB12" i="28" s="1"/>
  <c r="F15" i="24"/>
  <c r="AD15" i="24" s="1"/>
  <c r="D15" i="28"/>
  <c r="I8" i="30"/>
  <c r="E17" i="21"/>
  <c r="F11" i="9"/>
  <c r="AD11" i="9" s="1"/>
  <c r="G11" i="28"/>
  <c r="AE11" i="28" s="1"/>
  <c r="D8" i="15"/>
  <c r="E12" i="11"/>
  <c r="H7" i="11"/>
  <c r="I16" i="33"/>
  <c r="H11" i="17"/>
  <c r="AF11" i="17" s="1"/>
  <c r="D10" i="24"/>
  <c r="H11" i="13"/>
  <c r="I11" i="32"/>
  <c r="H14" i="25"/>
  <c r="AF14" i="25" s="1"/>
  <c r="H14" i="19"/>
  <c r="G11" i="32"/>
  <c r="I7" i="19"/>
  <c r="F11" i="11"/>
  <c r="AD11" i="11" s="1"/>
  <c r="I11" i="23"/>
  <c r="F7" i="24"/>
  <c r="AD7" i="24" s="1"/>
  <c r="F11" i="14"/>
  <c r="AD11" i="14" s="1"/>
  <c r="F9" i="25"/>
  <c r="AD9" i="25" s="1"/>
  <c r="G15" i="11"/>
  <c r="D11" i="7"/>
  <c r="D8" i="20"/>
  <c r="G13" i="27"/>
  <c r="AE13" i="27" s="1"/>
  <c r="H16" i="1"/>
  <c r="E11" i="27"/>
  <c r="AB11" i="27" s="1" a="1"/>
  <c r="AB11" i="27" s="1"/>
  <c r="E14" i="12"/>
  <c r="E15" i="8"/>
  <c r="H16" i="30"/>
  <c r="E17" i="17"/>
  <c r="AB17" i="17" s="1" a="1"/>
  <c r="AB17" i="17" s="1"/>
  <c r="D7" i="24"/>
  <c r="F10" i="14"/>
  <c r="AD10" i="14" s="1"/>
  <c r="I14" i="17"/>
  <c r="H15" i="26"/>
  <c r="I9" i="12"/>
  <c r="I8" i="28"/>
  <c r="D8" i="33"/>
  <c r="H9" i="25"/>
  <c r="D13" i="26"/>
  <c r="H12" i="31"/>
  <c r="AF12" i="31" s="1"/>
  <c r="F9" i="10"/>
  <c r="AD9" i="10" s="1"/>
  <c r="D16" i="9"/>
  <c r="I13" i="18"/>
  <c r="E7" i="19"/>
  <c r="D6" i="29"/>
  <c r="G8" i="12"/>
  <c r="I7" i="36"/>
  <c r="H16" i="27"/>
  <c r="E11" i="18"/>
  <c r="D7" i="33"/>
  <c r="E7" i="37"/>
  <c r="G15" i="25"/>
  <c r="AE15" i="25" s="1"/>
  <c r="AH15" i="25" s="1"/>
  <c r="H11" i="15"/>
  <c r="AF11" i="15" s="1"/>
  <c r="G11" i="14"/>
  <c r="AE11" i="14" s="1"/>
  <c r="F14" i="23"/>
  <c r="AD14" i="23" s="1"/>
  <c r="E10" i="18"/>
  <c r="D10" i="21"/>
  <c r="D14" i="29"/>
  <c r="I17" i="25"/>
  <c r="I12" i="27"/>
  <c r="AG12" i="27" s="1"/>
  <c r="E8" i="31"/>
  <c r="E9" i="28"/>
  <c r="E17" i="28"/>
  <c r="G8" i="7"/>
  <c r="AE8" i="7" s="1"/>
  <c r="F12" i="15"/>
  <c r="AD12" i="15" s="1"/>
  <c r="I7" i="34"/>
  <c r="AG7" i="34" s="1"/>
  <c r="F13" i="20"/>
  <c r="AD13" i="20" s="1"/>
  <c r="G8" i="20"/>
  <c r="AE8" i="20" s="1"/>
  <c r="D13" i="12"/>
  <c r="G16" i="31"/>
  <c r="G15" i="34"/>
  <c r="E13" i="7"/>
  <c r="F10" i="23"/>
  <c r="AD10" i="23" s="1"/>
  <c r="G11" i="27"/>
  <c r="AE11" i="27" s="1"/>
  <c r="E6" i="28"/>
  <c r="F10" i="31"/>
  <c r="AD10" i="31" s="1"/>
  <c r="H15" i="16"/>
  <c r="E8" i="16"/>
  <c r="AB8" i="16" s="1" a="1"/>
  <c r="AB8" i="16" s="1"/>
  <c r="F15" i="17"/>
  <c r="AD15" i="17" s="1"/>
  <c r="G10" i="16"/>
  <c r="AE10" i="16" s="1"/>
  <c r="I9" i="10"/>
  <c r="AG9" i="10" s="1"/>
  <c r="H8" i="13"/>
  <c r="AF8" i="13" s="1"/>
  <c r="H11" i="35"/>
  <c r="I12" i="16"/>
  <c r="G14" i="27"/>
  <c r="G9" i="1"/>
  <c r="AE9" i="1" s="1"/>
  <c r="F9" i="30"/>
  <c r="AD9" i="30" s="1"/>
  <c r="E11" i="10"/>
  <c r="I10" i="16"/>
  <c r="H9" i="36"/>
  <c r="G9" i="16"/>
  <c r="D9" i="35"/>
  <c r="G12" i="31"/>
  <c r="AE12" i="31" s="1"/>
  <c r="D9" i="26"/>
  <c r="I12" i="7"/>
  <c r="AG12" i="7" s="1"/>
  <c r="F10" i="37"/>
  <c r="AD10" i="37" s="1"/>
  <c r="H12" i="36"/>
  <c r="F10" i="9"/>
  <c r="AD10" i="9" s="1"/>
  <c r="I10" i="30"/>
  <c r="AG10" i="30" s="1"/>
  <c r="F16" i="29"/>
  <c r="AD16" i="29" s="1"/>
  <c r="D15" i="8"/>
  <c r="E8" i="37"/>
  <c r="G10" i="28"/>
  <c r="D11" i="27"/>
  <c r="E12" i="36"/>
  <c r="I11" i="26"/>
  <c r="AG11" i="26" s="1"/>
  <c r="F10" i="18"/>
  <c r="AD10" i="18" s="1"/>
  <c r="D15" i="7"/>
  <c r="F16" i="21"/>
  <c r="AD16" i="21" s="1"/>
  <c r="G7" i="23"/>
  <c r="AE7" i="23" s="1"/>
  <c r="AH7" i="23" s="1"/>
  <c r="D12" i="12"/>
  <c r="D12" i="31"/>
  <c r="H8" i="28"/>
  <c r="G9" i="32"/>
  <c r="I6" i="33"/>
  <c r="G10" i="21"/>
  <c r="I13" i="25"/>
  <c r="AG13" i="25" s="1"/>
  <c r="F16" i="27"/>
  <c r="AD16" i="27" s="1"/>
  <c r="E16" i="18"/>
  <c r="D8" i="28"/>
  <c r="E17" i="37"/>
  <c r="AB17" i="37" s="1" a="1"/>
  <c r="AB17" i="37" s="1"/>
  <c r="E17" i="8"/>
  <c r="H13" i="18"/>
  <c r="AF13" i="18" s="1"/>
  <c r="F16" i="10"/>
  <c r="AD16" i="10" s="1"/>
  <c r="H12" i="14"/>
  <c r="AF12" i="14" s="1"/>
  <c r="D14" i="27"/>
  <c r="G11" i="21"/>
  <c r="I9" i="33"/>
  <c r="D14" i="24"/>
  <c r="H14" i="27"/>
  <c r="AF14" i="27" s="1"/>
  <c r="I16" i="32"/>
  <c r="F6" i="37"/>
  <c r="AD6" i="37" s="1"/>
  <c r="I17" i="30"/>
  <c r="G7" i="7"/>
  <c r="AE7" i="7" s="1"/>
  <c r="I8" i="32"/>
  <c r="G9" i="25"/>
  <c r="AE9" i="25" s="1"/>
  <c r="H13" i="29"/>
  <c r="AF13" i="29" s="1"/>
  <c r="D16" i="34"/>
  <c r="G9" i="23"/>
  <c r="H6" i="23"/>
  <c r="G11" i="30"/>
  <c r="D6" i="20"/>
  <c r="I17" i="1"/>
  <c r="E11" i="37"/>
  <c r="AB11" i="37" s="1" a="1"/>
  <c r="AB11" i="37" s="1"/>
  <c r="I11" i="1"/>
  <c r="I6" i="21"/>
  <c r="G15" i="33"/>
  <c r="I17" i="14"/>
  <c r="AG17" i="14" s="1"/>
  <c r="D9" i="24"/>
  <c r="G15" i="26"/>
  <c r="AE15" i="26" s="1"/>
  <c r="AH15" i="26" s="1"/>
  <c r="G12" i="24"/>
  <c r="AE12" i="24" s="1"/>
  <c r="D15" i="24"/>
  <c r="G14" i="18"/>
  <c r="I13" i="1"/>
  <c r="E15" i="24"/>
  <c r="E14" i="33"/>
  <c r="E17" i="34"/>
  <c r="G7" i="34"/>
  <c r="AE7" i="34" s="1"/>
  <c r="F15" i="15"/>
  <c r="AD15" i="15" s="1"/>
  <c r="G9" i="20"/>
  <c r="I17" i="17"/>
  <c r="D9" i="16"/>
  <c r="G6" i="19"/>
  <c r="I6" i="11"/>
  <c r="AG6" i="11" s="1"/>
  <c r="G7" i="35"/>
  <c r="AE7" i="35" s="1"/>
  <c r="D8" i="12"/>
  <c r="I17" i="8"/>
  <c r="E14" i="34"/>
  <c r="G7" i="17"/>
  <c r="D9" i="21"/>
  <c r="F7" i="27"/>
  <c r="AD7" i="27" s="1"/>
  <c r="D17" i="11"/>
  <c r="I9" i="15"/>
  <c r="I15" i="21"/>
  <c r="F12" i="10"/>
  <c r="AD12" i="10" s="1"/>
  <c r="D16" i="26"/>
  <c r="H6" i="16"/>
  <c r="E13" i="37"/>
  <c r="G12" i="17"/>
  <c r="AE12" i="17" s="1"/>
  <c r="I9" i="20"/>
  <c r="AG9" i="20" s="1"/>
  <c r="F8" i="33"/>
  <c r="AD8" i="33" s="1"/>
  <c r="I13" i="20"/>
  <c r="I8" i="12"/>
  <c r="F14" i="12"/>
  <c r="AD14" i="12" s="1"/>
  <c r="D12" i="16"/>
  <c r="H8" i="19"/>
  <c r="AF8" i="19" s="1"/>
  <c r="E15" i="13"/>
  <c r="D10" i="25"/>
  <c r="D15" i="34"/>
  <c r="G11" i="1"/>
  <c r="D14" i="23"/>
  <c r="D10" i="31"/>
  <c r="E6" i="33"/>
  <c r="AB6" i="33" s="1" a="1"/>
  <c r="AB6" i="33" s="1"/>
  <c r="G9" i="36"/>
  <c r="AE9" i="36" s="1"/>
  <c r="G17" i="10"/>
  <c r="H6" i="27"/>
  <c r="F10" i="19"/>
  <c r="AD10" i="19" s="1"/>
  <c r="E14" i="24"/>
  <c r="D14" i="37"/>
  <c r="F7" i="33"/>
  <c r="AD7" i="33" s="1"/>
  <c r="E14" i="15"/>
  <c r="G16" i="18"/>
  <c r="F14" i="17"/>
  <c r="AD14" i="17" s="1"/>
  <c r="F8" i="15"/>
  <c r="AD8" i="15" s="1"/>
  <c r="D12" i="20"/>
  <c r="F8" i="29"/>
  <c r="AD8" i="29" s="1"/>
  <c r="G16" i="13"/>
  <c r="H10" i="8"/>
  <c r="AF10" i="8" s="1"/>
  <c r="F13" i="34"/>
  <c r="AD13" i="34" s="1"/>
  <c r="F12" i="33"/>
  <c r="AD12" i="33" s="1"/>
  <c r="H16" i="19"/>
  <c r="H9" i="35"/>
  <c r="F16" i="35"/>
  <c r="AD16" i="35" s="1"/>
  <c r="G8" i="34"/>
  <c r="AE8" i="34" s="1"/>
  <c r="AH8" i="34" s="1"/>
  <c r="G14" i="31"/>
  <c r="D12" i="18"/>
  <c r="H13" i="13"/>
  <c r="AF13" i="13" s="1"/>
  <c r="D12" i="13"/>
  <c r="F12" i="28"/>
  <c r="AD12" i="28" s="1"/>
  <c r="H11" i="19"/>
  <c r="E14" i="35"/>
  <c r="AB14" i="35" s="1" a="1"/>
  <c r="AB14" i="35" s="1"/>
  <c r="E7" i="29"/>
  <c r="AB7" i="29" s="1" a="1"/>
  <c r="AB7" i="29" s="1"/>
  <c r="D13" i="11"/>
  <c r="I15" i="32"/>
  <c r="I14" i="31"/>
  <c r="I6" i="32"/>
  <c r="D15" i="37"/>
  <c r="G6" i="17"/>
  <c r="G14" i="19"/>
  <c r="D10" i="36"/>
  <c r="I12" i="15"/>
  <c r="F15" i="37"/>
  <c r="AD15" i="37" s="1"/>
  <c r="D7" i="18"/>
  <c r="D11" i="10"/>
  <c r="H8" i="27"/>
  <c r="AF8" i="27" s="1"/>
  <c r="F17" i="20"/>
  <c r="AD17" i="20" s="1"/>
  <c r="I13" i="34"/>
  <c r="E8" i="26"/>
  <c r="D16" i="12"/>
  <c r="E8" i="19"/>
  <c r="I15" i="1"/>
  <c r="AG15" i="1" s="1"/>
  <c r="E13" i="21"/>
  <c r="G12" i="12"/>
  <c r="G11" i="12"/>
  <c r="H8" i="16"/>
  <c r="AF8" i="16" s="1"/>
  <c r="G13" i="7"/>
  <c r="AE13" i="7" s="1"/>
  <c r="E12" i="1"/>
  <c r="F16" i="28"/>
  <c r="AD16" i="28" s="1"/>
  <c r="G14" i="10"/>
  <c r="AE14" i="10" s="1"/>
  <c r="F7" i="9"/>
  <c r="AD7" i="9" s="1"/>
  <c r="H14" i="8"/>
  <c r="F6" i="31"/>
  <c r="AD6" i="31" s="1"/>
  <c r="F16" i="36"/>
  <c r="AD16" i="36" s="1"/>
  <c r="F8" i="10"/>
  <c r="AD8" i="10" s="1"/>
  <c r="F11" i="34"/>
  <c r="AD11" i="34" s="1"/>
  <c r="H11" i="36"/>
  <c r="AF11" i="36" s="1"/>
  <c r="D6" i="34"/>
  <c r="E9" i="27"/>
  <c r="D9" i="32"/>
  <c r="H15" i="37"/>
  <c r="AF15" i="37" s="1"/>
  <c r="E16" i="7"/>
  <c r="AB16" i="7" s="1" a="1"/>
  <c r="AB16" i="7" s="1"/>
  <c r="E7" i="7"/>
  <c r="E11" i="8"/>
  <c r="AB11" i="8" s="1" a="1"/>
  <c r="AB11" i="8" s="1"/>
  <c r="E16" i="28"/>
  <c r="AB16" i="28" s="1" a="1"/>
  <c r="AB16" i="28" s="1"/>
  <c r="E16" i="36"/>
  <c r="E6" i="27"/>
  <c r="I16" i="14"/>
  <c r="AG16" i="14" s="1"/>
  <c r="H10" i="11"/>
  <c r="I14" i="1"/>
  <c r="D10" i="33"/>
  <c r="H14" i="30"/>
  <c r="D12" i="37"/>
  <c r="E10" i="19"/>
  <c r="G7" i="27"/>
  <c r="I12" i="8"/>
  <c r="D6" i="8"/>
  <c r="F12" i="25"/>
  <c r="AD12" i="25" s="1"/>
  <c r="I7" i="10"/>
  <c r="AG7" i="10" s="1"/>
  <c r="G13" i="10"/>
  <c r="F16" i="25"/>
  <c r="AD16" i="25" s="1"/>
  <c r="F11" i="32"/>
  <c r="AD11" i="32" s="1"/>
  <c r="H17" i="31"/>
  <c r="H12" i="25"/>
  <c r="AF12" i="25" s="1"/>
  <c r="H10" i="29"/>
  <c r="I8" i="20"/>
  <c r="I15" i="25"/>
  <c r="AG15" i="25" s="1"/>
  <c r="G16" i="7"/>
  <c r="AE16" i="7" s="1"/>
  <c r="F17" i="26"/>
  <c r="AD17" i="26" s="1"/>
  <c r="D12" i="25"/>
  <c r="I9" i="13"/>
  <c r="AG9" i="13" s="1"/>
  <c r="F9" i="16"/>
  <c r="AD9" i="16" s="1"/>
  <c r="H11" i="10"/>
  <c r="AF11" i="10" s="1"/>
  <c r="G14" i="36"/>
  <c r="F9" i="29"/>
  <c r="AD9" i="29" s="1"/>
  <c r="I16" i="15"/>
  <c r="D13" i="15"/>
  <c r="F13" i="13"/>
  <c r="AD13" i="13" s="1"/>
  <c r="H7" i="1"/>
  <c r="D13" i="9"/>
  <c r="D15" i="16"/>
  <c r="E14" i="23"/>
  <c r="D10" i="19"/>
  <c r="E16" i="32"/>
  <c r="AB16" i="32" s="1" a="1"/>
  <c r="AB16" i="32" s="1"/>
  <c r="I12" i="21"/>
  <c r="AG12" i="21" s="1"/>
  <c r="I6" i="27"/>
  <c r="AG6" i="27" s="1"/>
  <c r="H10" i="37"/>
  <c r="AF10" i="37" s="1"/>
  <c r="I17" i="23"/>
  <c r="D15" i="18"/>
  <c r="D9" i="19"/>
  <c r="E11" i="19"/>
  <c r="F13" i="9"/>
  <c r="AD13" i="9" s="1"/>
  <c r="I17" i="12"/>
  <c r="D6" i="35"/>
  <c r="E6" i="10"/>
  <c r="F6" i="33"/>
  <c r="AD6" i="33" s="1"/>
  <c r="G6" i="10"/>
  <c r="E9" i="35"/>
  <c r="AB9" i="35" s="1" a="1"/>
  <c r="AB9" i="35" s="1"/>
  <c r="H15" i="14"/>
  <c r="E8" i="7"/>
  <c r="AB8" i="7" s="1" a="1"/>
  <c r="AB8" i="7" s="1"/>
  <c r="H10" i="19"/>
  <c r="AF10" i="19" s="1"/>
  <c r="E11" i="35"/>
  <c r="E14" i="27"/>
  <c r="AB14" i="27" s="1" a="1"/>
  <c r="AB14" i="27" s="1"/>
  <c r="E12" i="14"/>
  <c r="D14" i="10"/>
  <c r="G12" i="36"/>
  <c r="G10" i="12"/>
  <c r="G13" i="8"/>
  <c r="I13" i="16"/>
  <c r="F15" i="34"/>
  <c r="AD15" i="34" s="1"/>
  <c r="I10" i="15"/>
  <c r="H11" i="33"/>
  <c r="AF11" i="33" s="1"/>
  <c r="H15" i="27"/>
  <c r="E16" i="33"/>
  <c r="F16" i="24"/>
  <c r="AD16" i="24" s="1"/>
  <c r="H17" i="34"/>
  <c r="I6" i="13"/>
  <c r="H10" i="20"/>
  <c r="D9" i="29"/>
  <c r="H14" i="18"/>
  <c r="AF14" i="18" s="1"/>
  <c r="F6" i="7"/>
  <c r="AD6" i="7" s="1"/>
  <c r="D17" i="19"/>
  <c r="I9" i="31"/>
  <c r="H16" i="21"/>
  <c r="AF16" i="21" s="1"/>
  <c r="I7" i="21"/>
  <c r="I12" i="12"/>
  <c r="E15" i="21"/>
  <c r="AB15" i="21" s="1" a="1"/>
  <c r="AB15" i="21" s="1"/>
  <c r="H14" i="7"/>
  <c r="AF14" i="7" s="1"/>
  <c r="E9" i="11"/>
  <c r="AB9" i="11" s="1" a="1"/>
  <c r="AB9" i="11" s="1"/>
  <c r="G12" i="15"/>
  <c r="E15" i="1"/>
  <c r="D15" i="10"/>
  <c r="G11" i="37"/>
  <c r="I13" i="24"/>
  <c r="AG13" i="24" s="1"/>
  <c r="E9" i="23"/>
  <c r="AB9" i="23" s="1" a="1"/>
  <c r="AB9" i="23" s="1"/>
  <c r="F10" i="32"/>
  <c r="AD10" i="32" s="1"/>
  <c r="E7" i="26"/>
  <c r="AB7" i="26" s="1" a="1"/>
  <c r="AB7" i="26" s="1"/>
  <c r="D7" i="16"/>
  <c r="F17" i="10"/>
  <c r="AD17" i="10" s="1"/>
  <c r="F14" i="29"/>
  <c r="AD14" i="29" s="1"/>
  <c r="D14" i="31"/>
  <c r="D12" i="10"/>
  <c r="F8" i="23"/>
  <c r="AD8" i="23" s="1"/>
  <c r="D16" i="7"/>
  <c r="G15" i="32"/>
  <c r="F11" i="19"/>
  <c r="AD11" i="19" s="1"/>
  <c r="D12" i="33"/>
  <c r="H17" i="36"/>
  <c r="AF17" i="36" s="1"/>
  <c r="G15" i="35"/>
  <c r="AE15" i="35" s="1"/>
  <c r="AH15" i="35" s="1"/>
  <c r="F13" i="17"/>
  <c r="AD13" i="17" s="1"/>
  <c r="F15" i="12"/>
  <c r="AD15" i="12" s="1"/>
  <c r="F11" i="23"/>
  <c r="AD11" i="23" s="1"/>
  <c r="H6" i="18"/>
  <c r="G10" i="19"/>
  <c r="AE10" i="19" s="1"/>
  <c r="E6" i="17"/>
  <c r="AB6" i="17" s="1" a="1"/>
  <c r="AB6" i="17" s="1"/>
  <c r="H10" i="15"/>
  <c r="AF10" i="15" s="1"/>
  <c r="I16" i="30"/>
  <c r="AG16" i="30" s="1"/>
  <c r="D15" i="15"/>
  <c r="E6" i="8"/>
  <c r="I16" i="34"/>
  <c r="F17" i="19"/>
  <c r="AD17" i="19" s="1"/>
  <c r="H7" i="17"/>
  <c r="AF7" i="17" s="1"/>
  <c r="I13" i="19"/>
  <c r="AG13" i="19" s="1"/>
  <c r="I14" i="10"/>
  <c r="D11" i="14"/>
  <c r="I6" i="8"/>
  <c r="G8" i="35"/>
  <c r="G10" i="26"/>
  <c r="D14" i="20"/>
  <c r="F9" i="15"/>
  <c r="AD9" i="15" s="1"/>
  <c r="D10" i="29"/>
  <c r="D17" i="28"/>
  <c r="G17" i="26"/>
  <c r="D17" i="9"/>
  <c r="G8" i="13"/>
  <c r="F11" i="16"/>
  <c r="AD11" i="16" s="1"/>
  <c r="G15" i="12"/>
  <c r="D11" i="12"/>
  <c r="F13" i="16"/>
  <c r="AD13" i="16" s="1"/>
  <c r="H7" i="19"/>
  <c r="D12" i="11"/>
  <c r="F10" i="25"/>
  <c r="AD10" i="25" s="1"/>
  <c r="H15" i="17"/>
  <c r="AF15" i="17" s="1"/>
  <c r="D17" i="23"/>
  <c r="D11" i="33"/>
  <c r="E10" i="29"/>
  <c r="D16" i="19"/>
  <c r="E14" i="9"/>
  <c r="AB14" i="9" s="1" a="1"/>
  <c r="AB14" i="9" s="1"/>
  <c r="E16" i="27"/>
  <c r="I8" i="17"/>
  <c r="AG8" i="17" s="1"/>
  <c r="I7" i="18"/>
  <c r="E17" i="11"/>
  <c r="F7" i="37"/>
  <c r="AD7" i="37" s="1"/>
  <c r="G7" i="11"/>
  <c r="E13" i="11"/>
  <c r="AB13" i="11" s="1" a="1"/>
  <c r="AB13" i="11" s="1"/>
  <c r="H12" i="8"/>
  <c r="I10" i="23"/>
  <c r="AG10" i="23" s="1"/>
  <c r="E17" i="14"/>
  <c r="AB17" i="14" s="1" a="1"/>
  <c r="AB17" i="14" s="1"/>
  <c r="E9" i="31"/>
  <c r="AB9" i="31" s="1" a="1"/>
  <c r="AB9" i="31" s="1"/>
  <c r="E14" i="19"/>
  <c r="D15" i="14"/>
  <c r="F15" i="10"/>
  <c r="AD15" i="10" s="1"/>
  <c r="F9" i="19"/>
  <c r="AD9" i="19" s="1"/>
  <c r="I17" i="11"/>
  <c r="E9" i="30"/>
  <c r="H14" i="34"/>
  <c r="E6" i="30"/>
  <c r="I7" i="26"/>
  <c r="E14" i="8"/>
  <c r="AB14" i="8" s="1" a="1"/>
  <c r="AB14" i="8" s="1"/>
  <c r="H6" i="32"/>
  <c r="D15" i="13"/>
  <c r="H7" i="15"/>
  <c r="AF7" i="15" s="1"/>
  <c r="H16" i="28"/>
  <c r="AF16" i="28" s="1"/>
  <c r="F9" i="13"/>
  <c r="AD9" i="13" s="1"/>
  <c r="G14" i="26"/>
  <c r="H6" i="34"/>
  <c r="E17" i="32"/>
  <c r="AB17" i="32" s="1" a="1"/>
  <c r="AB17" i="32" s="1"/>
  <c r="G17" i="7"/>
  <c r="E7" i="10"/>
  <c r="D8" i="25"/>
  <c r="D6" i="26"/>
  <c r="E8" i="32"/>
  <c r="E17" i="7"/>
  <c r="E13" i="34"/>
  <c r="AB13" i="34" s="1" a="1"/>
  <c r="AB13" i="34" s="1"/>
  <c r="G8" i="14"/>
  <c r="H15" i="32"/>
  <c r="AF15" i="32" s="1"/>
  <c r="G14" i="32"/>
  <c r="AE14" i="32" s="1"/>
  <c r="H16" i="10"/>
  <c r="D14" i="18"/>
  <c r="H9" i="19"/>
  <c r="H16" i="11"/>
  <c r="AF16" i="11" s="1"/>
  <c r="I16" i="24"/>
  <c r="G15" i="27"/>
  <c r="AE15" i="27" s="1"/>
  <c r="G10" i="32"/>
  <c r="AE10" i="32" s="1"/>
  <c r="I10" i="35"/>
  <c r="D11" i="18"/>
  <c r="G13" i="1"/>
  <c r="E7" i="21"/>
  <c r="AB7" i="21" s="1" a="1"/>
  <c r="AB7" i="21" s="1"/>
  <c r="F12" i="29"/>
  <c r="AD12" i="29" s="1"/>
  <c r="F9" i="9"/>
  <c r="AD9" i="9" s="1"/>
  <c r="E17" i="15"/>
  <c r="AB17" i="15" s="1" a="1"/>
  <c r="AB17" i="15" s="1"/>
  <c r="F14" i="26"/>
  <c r="AD14" i="26" s="1"/>
  <c r="I8" i="9"/>
  <c r="H12" i="33"/>
  <c r="H13" i="24"/>
  <c r="AF13" i="24" s="1"/>
  <c r="G6" i="26"/>
  <c r="E7" i="17"/>
  <c r="G12" i="35"/>
  <c r="G8" i="16"/>
  <c r="F7" i="14"/>
  <c r="AD7" i="14" s="1"/>
  <c r="I14" i="12"/>
  <c r="AG14" i="12" s="1"/>
  <c r="G10" i="10"/>
  <c r="H15" i="19"/>
  <c r="AF15" i="19" s="1"/>
  <c r="I17" i="15"/>
  <c r="AG17" i="15" s="1"/>
  <c r="F13" i="18"/>
  <c r="AD13" i="18" s="1"/>
  <c r="I16" i="11"/>
  <c r="D6" i="10"/>
  <c r="G6" i="21"/>
  <c r="H8" i="29"/>
  <c r="AF8" i="29" s="1"/>
  <c r="H7" i="35"/>
  <c r="H8" i="14"/>
  <c r="H11" i="29"/>
  <c r="D16" i="25"/>
  <c r="E8" i="21"/>
  <c r="E17" i="36"/>
  <c r="H17" i="18"/>
  <c r="AF17" i="18" s="1"/>
  <c r="G10" i="29"/>
  <c r="AE10" i="29" s="1"/>
  <c r="D17" i="7"/>
  <c r="G14" i="35"/>
  <c r="AE14" i="35" s="1"/>
  <c r="AH14" i="35" s="1"/>
  <c r="H11" i="12"/>
  <c r="E8" i="36"/>
  <c r="H13" i="19"/>
  <c r="F16" i="14"/>
  <c r="AD16" i="14" s="1"/>
  <c r="E10" i="14"/>
  <c r="F8" i="14"/>
  <c r="AD8" i="14" s="1"/>
  <c r="I7" i="20"/>
  <c r="I7" i="9"/>
  <c r="H14" i="32"/>
  <c r="I11" i="33"/>
  <c r="D16" i="36"/>
  <c r="F8" i="20"/>
  <c r="AD8" i="20" s="1"/>
  <c r="E9" i="12"/>
  <c r="AB9" i="12" s="1" a="1"/>
  <c r="AB9" i="12" s="1"/>
  <c r="G12" i="27"/>
  <c r="AE12" i="27" s="1"/>
  <c r="AH12" i="27" s="1"/>
  <c r="H15" i="33"/>
  <c r="G13" i="34"/>
  <c r="H11" i="9"/>
  <c r="AF11" i="9" s="1"/>
  <c r="G17" i="17"/>
  <c r="H17" i="23"/>
  <c r="I7" i="24"/>
  <c r="D16" i="24"/>
  <c r="H6" i="7"/>
  <c r="AF6" i="7" s="1"/>
  <c r="E6" i="37"/>
  <c r="F14" i="13"/>
  <c r="AD14" i="13" s="1"/>
  <c r="F11" i="25"/>
  <c r="AD11" i="25" s="1"/>
  <c r="H8" i="18"/>
  <c r="AF8" i="18" s="1"/>
  <c r="I6" i="30"/>
  <c r="AG6" i="30" s="1"/>
  <c r="E11" i="28"/>
  <c r="AB11" i="28" s="1" a="1"/>
  <c r="AB11" i="28" s="1"/>
  <c r="I10" i="17"/>
  <c r="D15" i="31"/>
  <c r="G12" i="16"/>
  <c r="G10" i="15"/>
  <c r="E10" i="33"/>
  <c r="I13" i="26"/>
  <c r="AG13" i="26" s="1"/>
  <c r="E8" i="33"/>
  <c r="E6" i="23"/>
  <c r="G6" i="14"/>
  <c r="I6" i="19"/>
  <c r="I10" i="19"/>
  <c r="F13" i="25"/>
  <c r="AD13" i="25" s="1"/>
  <c r="H8" i="15"/>
  <c r="AF8" i="15" s="1"/>
  <c r="G16" i="1"/>
  <c r="AE16" i="1" s="1"/>
  <c r="E6" i="9"/>
  <c r="F15" i="29"/>
  <c r="AD15" i="29" s="1"/>
  <c r="E9" i="1"/>
  <c r="E14" i="1"/>
  <c r="H12" i="27"/>
  <c r="D13" i="31"/>
  <c r="D6" i="28"/>
  <c r="I12" i="20"/>
  <c r="E14" i="13"/>
  <c r="G6" i="25"/>
  <c r="AE6" i="25" s="1"/>
  <c r="F11" i="1"/>
  <c r="AD11" i="1" s="1"/>
  <c r="D16" i="21"/>
  <c r="D9" i="1"/>
  <c r="F13" i="29"/>
  <c r="AD13" i="29" s="1"/>
  <c r="G13" i="32"/>
  <c r="I15" i="7"/>
  <c r="I14" i="20"/>
  <c r="E17" i="26"/>
  <c r="F14" i="7"/>
  <c r="AD14" i="7" s="1"/>
  <c r="G16" i="14"/>
  <c r="AE16" i="14" s="1"/>
  <c r="AH16" i="14" s="1"/>
  <c r="E13" i="24"/>
  <c r="H13" i="35"/>
  <c r="I8" i="14"/>
  <c r="G8" i="28"/>
  <c r="D13" i="23"/>
  <c r="F12" i="32"/>
  <c r="AD12" i="32" s="1"/>
  <c r="D9" i="28"/>
  <c r="D8" i="35"/>
  <c r="I12" i="9"/>
  <c r="G8" i="19"/>
  <c r="H14" i="28"/>
  <c r="H6" i="24"/>
  <c r="AF6" i="24" s="1"/>
  <c r="F10" i="17"/>
  <c r="AD10" i="17" s="1"/>
  <c r="E13" i="10"/>
  <c r="I11" i="20"/>
  <c r="H11" i="11"/>
  <c r="F12" i="31"/>
  <c r="AD12" i="31" s="1"/>
  <c r="G6" i="30"/>
  <c r="F17" i="21"/>
  <c r="AD17" i="21" s="1"/>
  <c r="E11" i="9"/>
  <c r="AB11" i="9" s="1" a="1"/>
  <c r="AB11" i="9" s="1"/>
  <c r="F12" i="23"/>
  <c r="AD12" i="23" s="1"/>
  <c r="D8" i="11"/>
  <c r="D6" i="30"/>
  <c r="I13" i="14"/>
  <c r="G15" i="13"/>
  <c r="H6" i="31"/>
  <c r="I16" i="21"/>
  <c r="I13" i="30"/>
  <c r="F17" i="34"/>
  <c r="AD17" i="34" s="1"/>
  <c r="F13" i="31"/>
  <c r="AD13" i="31" s="1"/>
  <c r="D9" i="27"/>
  <c r="F8" i="25"/>
  <c r="AD8" i="25" s="1"/>
  <c r="D10" i="28"/>
  <c r="G13" i="11"/>
  <c r="AE13" i="11" s="1"/>
  <c r="D12" i="32"/>
  <c r="F9" i="12"/>
  <c r="AD9" i="12" s="1"/>
  <c r="E14" i="11"/>
  <c r="G9" i="17"/>
  <c r="F6" i="32"/>
  <c r="AD6" i="32" s="1"/>
  <c r="I15" i="34"/>
  <c r="D13" i="18"/>
  <c r="H17" i="33"/>
  <c r="H16" i="29"/>
  <c r="D11" i="26"/>
  <c r="I17" i="21"/>
  <c r="D14" i="19"/>
  <c r="D9" i="11"/>
  <c r="F6" i="19"/>
  <c r="AD6" i="19" s="1"/>
  <c r="G7" i="8"/>
  <c r="AE7" i="8" s="1"/>
  <c r="E7" i="25"/>
  <c r="AB7" i="25" s="1" a="1"/>
  <c r="AB7" i="25" s="1"/>
  <c r="E17" i="24"/>
  <c r="I8" i="1"/>
  <c r="H8" i="34"/>
  <c r="E6" i="34"/>
  <c r="H6" i="8"/>
  <c r="AF6" i="8" s="1"/>
  <c r="E6" i="11"/>
  <c r="AB6" i="11" s="1" a="1"/>
  <c r="AB6" i="11" s="1"/>
  <c r="G9" i="19"/>
  <c r="E11" i="33"/>
  <c r="F12" i="36"/>
  <c r="AD12" i="36" s="1"/>
  <c r="E9" i="15"/>
  <c r="H8" i="21"/>
  <c r="AF8" i="21" s="1"/>
  <c r="F7" i="10"/>
  <c r="AD7" i="10" s="1"/>
  <c r="I6" i="24"/>
  <c r="AG6" i="24" s="1"/>
  <c r="I14" i="27"/>
  <c r="AG14" i="27" s="1"/>
  <c r="D13" i="7"/>
  <c r="H17" i="19"/>
  <c r="E11" i="26"/>
  <c r="G13" i="14"/>
  <c r="F7" i="36"/>
  <c r="AD7" i="36" s="1"/>
  <c r="I15" i="13"/>
  <c r="E12" i="18"/>
  <c r="H14" i="37"/>
  <c r="I7" i="31"/>
  <c r="F11" i="10"/>
  <c r="AD11" i="10" s="1"/>
  <c r="H8" i="25"/>
  <c r="I10" i="33"/>
  <c r="AG10" i="33" s="1"/>
  <c r="H13" i="20"/>
  <c r="AF13" i="20" s="1"/>
  <c r="I6" i="36"/>
  <c r="AG6" i="36" s="1"/>
  <c r="G15" i="31"/>
  <c r="I15" i="17"/>
  <c r="E10" i="32"/>
  <c r="E10" i="30"/>
  <c r="D6" i="23"/>
  <c r="E8" i="23"/>
  <c r="AB8" i="23" s="1" a="1"/>
  <c r="AB8" i="23" s="1"/>
  <c r="I9" i="34"/>
  <c r="D9" i="37"/>
  <c r="G14" i="1"/>
  <c r="H14" i="35"/>
  <c r="I8" i="33"/>
  <c r="AG8" i="33" s="1"/>
  <c r="G7" i="21"/>
  <c r="AE7" i="21" s="1"/>
  <c r="D7" i="19"/>
  <c r="G12" i="1"/>
  <c r="AE12" i="1" s="1"/>
  <c r="H7" i="31"/>
  <c r="F16" i="17"/>
  <c r="AD16" i="17" s="1"/>
  <c r="G12" i="19"/>
  <c r="G8" i="30"/>
  <c r="AE8" i="30" s="1"/>
  <c r="H12" i="19"/>
  <c r="AF12" i="19" s="1"/>
  <c r="G6" i="36"/>
  <c r="AE6" i="36" s="1"/>
  <c r="E11" i="15"/>
  <c r="D6" i="21"/>
  <c r="F11" i="15"/>
  <c r="AD11" i="15" s="1"/>
  <c r="G12" i="34"/>
  <c r="D12" i="23"/>
  <c r="I14" i="37"/>
  <c r="AG14" i="37" s="1"/>
  <c r="G17" i="23"/>
  <c r="AE17" i="23" s="1"/>
  <c r="F16" i="11"/>
  <c r="AD16" i="11" s="1"/>
  <c r="F13" i="28"/>
  <c r="AD13" i="28" s="1"/>
  <c r="D10" i="10"/>
  <c r="G11" i="25"/>
  <c r="F13" i="27"/>
  <c r="AD13" i="27" s="1"/>
  <c r="E9" i="19"/>
  <c r="AB9" i="19" s="1" a="1"/>
  <c r="AB9" i="19" s="1"/>
  <c r="D9" i="34"/>
  <c r="G15" i="7"/>
  <c r="D6" i="25"/>
  <c r="F10" i="24"/>
  <c r="AD10" i="24" s="1"/>
  <c r="E15" i="10"/>
  <c r="E15" i="9"/>
  <c r="AB15" i="9" s="1" a="1"/>
  <c r="AB15" i="9" s="1"/>
  <c r="G6" i="29"/>
  <c r="AE6" i="29" s="1"/>
  <c r="F11" i="30"/>
  <c r="AD11" i="30" s="1"/>
  <c r="F8" i="9"/>
  <c r="AD8" i="9" s="1"/>
  <c r="G7" i="15"/>
  <c r="E12" i="32"/>
  <c r="D15" i="29"/>
  <c r="I10" i="26"/>
  <c r="D15" i="23"/>
  <c r="G11" i="20"/>
  <c r="D15" i="35"/>
  <c r="G11" i="33"/>
  <c r="AE11" i="33" s="1"/>
  <c r="D12" i="8"/>
  <c r="G7" i="33"/>
  <c r="H9" i="15"/>
  <c r="AF9" i="15" s="1"/>
  <c r="F15" i="9"/>
  <c r="AD15" i="9" s="1"/>
  <c r="D11" i="1"/>
  <c r="H7" i="26"/>
  <c r="AF7" i="26" s="1"/>
  <c r="I9" i="18"/>
  <c r="D8" i="26"/>
  <c r="I14" i="30"/>
  <c r="F17" i="23"/>
  <c r="AD17" i="23" s="1"/>
  <c r="I9" i="35"/>
  <c r="AG9" i="35" s="1"/>
  <c r="G16" i="8"/>
  <c r="D9" i="8"/>
  <c r="F14" i="20"/>
  <c r="AD14" i="20" s="1"/>
  <c r="I12" i="28"/>
  <c r="AG12" i="28" s="1"/>
  <c r="E6" i="21"/>
  <c r="AB6" i="21" s="1" a="1"/>
  <c r="AB6" i="21" s="1"/>
  <c r="H9" i="7"/>
  <c r="AF9" i="7" s="1"/>
  <c r="H17" i="27"/>
  <c r="AF17" i="27" s="1"/>
  <c r="G9" i="35"/>
  <c r="AE9" i="35" s="1"/>
  <c r="AH9" i="35" s="1"/>
  <c r="I11" i="11"/>
  <c r="AG11" i="11" s="1"/>
  <c r="G16" i="10"/>
  <c r="G8" i="29"/>
  <c r="F12" i="37"/>
  <c r="AD12" i="37" s="1"/>
  <c r="H14" i="24"/>
  <c r="E16" i="11"/>
  <c r="G17" i="14"/>
  <c r="AE17" i="14" s="1"/>
  <c r="E16" i="8"/>
  <c r="D6" i="32"/>
  <c r="E7" i="18"/>
  <c r="E12" i="19"/>
  <c r="E8" i="1"/>
  <c r="F14" i="8"/>
  <c r="AD14" i="8" s="1"/>
  <c r="D13" i="10"/>
  <c r="F14" i="9"/>
  <c r="AD14" i="9" s="1"/>
  <c r="I10" i="20"/>
  <c r="D13" i="32"/>
  <c r="F9" i="14"/>
  <c r="AD9" i="14" s="1"/>
  <c r="E7" i="23"/>
  <c r="F9" i="11"/>
  <c r="AD9" i="11" s="1"/>
  <c r="E16" i="24"/>
  <c r="E15" i="26"/>
  <c r="I16" i="12"/>
  <c r="F16" i="37"/>
  <c r="AD16" i="37" s="1"/>
  <c r="E7" i="35"/>
  <c r="E11" i="32"/>
  <c r="G9" i="21"/>
  <c r="AE9" i="21" s="1"/>
  <c r="D14" i="28"/>
  <c r="H7" i="18"/>
  <c r="AF7" i="18" s="1"/>
  <c r="D12" i="21"/>
  <c r="D14" i="34"/>
  <c r="I11" i="35"/>
  <c r="E13" i="17"/>
  <c r="D8" i="31"/>
  <c r="G8" i="31"/>
  <c r="I12" i="37"/>
  <c r="D15" i="33"/>
  <c r="I16" i="28"/>
  <c r="H7" i="10"/>
  <c r="AF7" i="10" s="1"/>
  <c r="H17" i="1"/>
  <c r="G16" i="19"/>
  <c r="AE16" i="19" s="1"/>
  <c r="D13" i="21"/>
  <c r="E9" i="17"/>
  <c r="AB9" i="17" s="1" a="1"/>
  <c r="AB9" i="17" s="1"/>
  <c r="I16" i="18"/>
  <c r="D12" i="30"/>
  <c r="D8" i="19"/>
  <c r="I15" i="10"/>
  <c r="H12" i="23"/>
  <c r="AF12" i="23" s="1"/>
  <c r="I13" i="37"/>
  <c r="AG13" i="37" s="1"/>
  <c r="I11" i="21"/>
  <c r="I6" i="20"/>
  <c r="E10" i="24"/>
  <c r="G13" i="17"/>
  <c r="AE13" i="17" s="1"/>
  <c r="D11" i="11"/>
  <c r="E14" i="17"/>
  <c r="AB14" i="17" s="1" a="1"/>
  <c r="AB14" i="17" s="1"/>
  <c r="H15" i="30"/>
  <c r="AF15" i="30" s="1"/>
  <c r="D6" i="19"/>
  <c r="H6" i="14"/>
  <c r="H15" i="1"/>
  <c r="D11" i="8"/>
  <c r="F8" i="17"/>
  <c r="AD8" i="17" s="1"/>
  <c r="D9" i="25"/>
  <c r="E8" i="30"/>
  <c r="G14" i="34"/>
  <c r="H9" i="17"/>
  <c r="I7" i="37"/>
  <c r="AG7" i="37" s="1"/>
  <c r="F15" i="33"/>
  <c r="AD15" i="33" s="1"/>
  <c r="H6" i="33"/>
  <c r="AF6" i="33" s="1"/>
  <c r="D17" i="10"/>
  <c r="I6" i="12"/>
  <c r="AG6" i="12" s="1"/>
  <c r="E7" i="8"/>
  <c r="AB7" i="8" s="1" a="1"/>
  <c r="AB7" i="8" s="1"/>
  <c r="H16" i="24"/>
  <c r="I7" i="27"/>
  <c r="G13" i="29"/>
  <c r="H10" i="13"/>
  <c r="AF10" i="13" s="1"/>
  <c r="D16" i="18"/>
  <c r="G14" i="25"/>
  <c r="H17" i="29"/>
  <c r="I17" i="19"/>
  <c r="D17" i="34"/>
  <c r="G13" i="16"/>
  <c r="AE13" i="16" s="1"/>
  <c r="H6" i="20"/>
  <c r="AF6" i="20" s="1"/>
  <c r="F14" i="27"/>
  <c r="AD14" i="27" s="1"/>
  <c r="F9" i="27"/>
  <c r="AD9" i="27" s="1"/>
  <c r="G15" i="29"/>
  <c r="AE15" i="29" s="1"/>
  <c r="H6" i="12"/>
  <c r="G11" i="11"/>
  <c r="E14" i="10"/>
  <c r="I6" i="15"/>
  <c r="H15" i="12"/>
  <c r="E7" i="34"/>
  <c r="D10" i="16"/>
  <c r="G10" i="30"/>
  <c r="I7" i="1"/>
  <c r="E10" i="9"/>
  <c r="AB10" i="9" s="1" a="1"/>
  <c r="AB10" i="9" s="1"/>
  <c r="H9" i="31"/>
  <c r="G17" i="15"/>
  <c r="AE17" i="15" s="1"/>
  <c r="E12" i="34"/>
  <c r="AB12" i="34" s="1" a="1"/>
  <c r="AB12" i="34" s="1"/>
  <c r="F16" i="13"/>
  <c r="AD16" i="13" s="1"/>
  <c r="H17" i="32"/>
  <c r="G15" i="21"/>
  <c r="E14" i="26"/>
  <c r="F12" i="20"/>
  <c r="AD12" i="20" s="1"/>
  <c r="H6" i="35"/>
  <c r="H16" i="32"/>
  <c r="E16" i="34"/>
  <c r="I12" i="36"/>
  <c r="F7" i="30"/>
  <c r="AD7" i="30" s="1"/>
  <c r="E8" i="13"/>
  <c r="AB8" i="13" s="1" a="1"/>
  <c r="AB8" i="13" s="1"/>
  <c r="F10" i="29"/>
  <c r="AD10" i="29" s="1"/>
  <c r="E7" i="12"/>
  <c r="AB7" i="12" s="1" a="1"/>
  <c r="AB7" i="12" s="1"/>
  <c r="D12" i="7"/>
  <c r="I13" i="8"/>
  <c r="AG13" i="8" s="1"/>
  <c r="H11" i="21"/>
  <c r="G10" i="14"/>
  <c r="E16" i="16"/>
  <c r="AB16" i="16" s="1" a="1"/>
  <c r="AB16" i="16" s="1"/>
  <c r="H14" i="11"/>
  <c r="I6" i="25"/>
  <c r="G17" i="37"/>
  <c r="F15" i="13"/>
  <c r="AD15" i="13" s="1"/>
  <c r="I11" i="10"/>
  <c r="F16" i="34"/>
  <c r="AD16" i="34" s="1"/>
  <c r="E9" i="36"/>
  <c r="AB9" i="36" s="1" a="1"/>
  <c r="AB9" i="36" s="1"/>
  <c r="E13" i="13"/>
  <c r="F17" i="8"/>
  <c r="AD17" i="8" s="1"/>
  <c r="I7" i="28"/>
  <c r="AG7" i="28" s="1"/>
  <c r="I6" i="17"/>
  <c r="AG6" i="17" s="1"/>
  <c r="H13" i="12"/>
  <c r="G17" i="18"/>
  <c r="E16" i="30"/>
  <c r="I13" i="33"/>
  <c r="E13" i="19"/>
  <c r="F16" i="9"/>
  <c r="AD16" i="9" s="1"/>
  <c r="F14" i="28"/>
  <c r="AD14" i="28" s="1"/>
  <c r="D7" i="28"/>
  <c r="G11" i="29"/>
  <c r="I6" i="26"/>
  <c r="F17" i="13"/>
  <c r="AD17" i="13" s="1"/>
  <c r="D11" i="16"/>
  <c r="D17" i="18"/>
  <c r="F6" i="8"/>
  <c r="AD6" i="8" s="1"/>
  <c r="F12" i="8"/>
  <c r="AD12" i="8" s="1"/>
  <c r="E16" i="23"/>
  <c r="AB16" i="23" s="1" a="1"/>
  <c r="AB16" i="23" s="1"/>
  <c r="E14" i="20"/>
  <c r="E15" i="12"/>
  <c r="H8" i="12"/>
  <c r="I11" i="34"/>
  <c r="AG11" i="34" s="1"/>
  <c r="E8" i="25"/>
  <c r="G7" i="31"/>
  <c r="F13" i="23"/>
  <c r="AD13" i="23" s="1"/>
  <c r="D11" i="31"/>
  <c r="F16" i="8"/>
  <c r="AD16" i="8" s="1"/>
  <c r="H10" i="16"/>
  <c r="AF10" i="16" s="1"/>
  <c r="G15" i="1"/>
  <c r="AE15" i="1" s="1"/>
  <c r="AH15" i="1" s="1"/>
  <c r="H15" i="9"/>
  <c r="AF15" i="9" s="1"/>
  <c r="F7" i="17"/>
  <c r="AD7" i="17" s="1"/>
  <c r="D15" i="30"/>
  <c r="F12" i="26"/>
  <c r="AD12" i="26" s="1"/>
  <c r="G17" i="9"/>
  <c r="G12" i="10"/>
  <c r="I6" i="29"/>
  <c r="I17" i="24"/>
  <c r="G13" i="13"/>
  <c r="D17" i="25"/>
  <c r="D8" i="21"/>
  <c r="E12" i="30"/>
  <c r="AB12" i="30" s="1" a="1"/>
  <c r="AB12" i="30" s="1"/>
  <c r="D7" i="7"/>
  <c r="I17" i="18"/>
  <c r="AG17" i="18" s="1"/>
  <c r="H17" i="8"/>
  <c r="AF17" i="8" s="1"/>
  <c r="I11" i="8"/>
  <c r="I13" i="11"/>
  <c r="E17" i="19"/>
  <c r="H10" i="27"/>
  <c r="G15" i="16"/>
  <c r="F16" i="23"/>
  <c r="AD16" i="23" s="1"/>
  <c r="F17" i="16"/>
  <c r="AD17" i="16" s="1"/>
  <c r="D6" i="24"/>
  <c r="D13" i="29"/>
  <c r="D14" i="26"/>
  <c r="H14" i="23"/>
  <c r="AF14" i="23" s="1"/>
  <c r="D9" i="13"/>
  <c r="G8" i="9"/>
  <c r="E11" i="36"/>
  <c r="AB11" i="36" s="1" a="1"/>
  <c r="AB11" i="36" s="1"/>
  <c r="E8" i="29"/>
  <c r="H16" i="20"/>
  <c r="F13" i="37"/>
  <c r="AD13" i="37" s="1"/>
  <c r="H8" i="8"/>
  <c r="H10" i="31"/>
  <c r="E8" i="27"/>
  <c r="AB8" i="27" s="1" a="1"/>
  <c r="AB8" i="27" s="1"/>
  <c r="H10" i="23"/>
  <c r="E8" i="35"/>
  <c r="G12" i="7"/>
  <c r="G15" i="10"/>
  <c r="I12" i="30"/>
  <c r="AG12" i="30" s="1"/>
  <c r="G7" i="19"/>
  <c r="E16" i="20"/>
  <c r="AB16" i="20" s="1" a="1"/>
  <c r="AB16" i="20" s="1"/>
  <c r="F10" i="27"/>
  <c r="AD10" i="27" s="1"/>
  <c r="D13" i="30"/>
  <c r="I16" i="16"/>
  <c r="I12" i="31"/>
  <c r="G14" i="37"/>
  <c r="I7" i="29"/>
  <c r="I10" i="11"/>
  <c r="AG10" i="11" s="1"/>
  <c r="G11" i="8"/>
  <c r="H17" i="14"/>
  <c r="D16" i="30"/>
  <c r="D13" i="33"/>
  <c r="E12" i="10"/>
  <c r="D16" i="28"/>
  <c r="I14" i="25"/>
  <c r="D10" i="7"/>
  <c r="F15" i="16"/>
  <c r="AD15" i="16" s="1"/>
  <c r="G17" i="12"/>
  <c r="I10" i="37"/>
  <c r="G11" i="10"/>
  <c r="D10" i="32"/>
  <c r="I14" i="7"/>
  <c r="D8" i="37"/>
  <c r="E9" i="32"/>
  <c r="I17" i="33"/>
  <c r="E13" i="35"/>
  <c r="AB13" i="35" s="1" a="1"/>
  <c r="AB13" i="35" s="1"/>
  <c r="H7" i="36"/>
  <c r="I16" i="35"/>
  <c r="AG16" i="35" s="1"/>
  <c r="G16" i="15"/>
  <c r="E15" i="16"/>
  <c r="AB15" i="16" s="1" a="1"/>
  <c r="AB15" i="16" s="1"/>
  <c r="H13" i="7"/>
  <c r="G15" i="15"/>
  <c r="E12" i="37"/>
  <c r="F15" i="11"/>
  <c r="AD15" i="11" s="1"/>
  <c r="G9" i="11"/>
  <c r="AE9" i="11" s="1"/>
  <c r="H7" i="14"/>
  <c r="AF7" i="14" s="1"/>
  <c r="H15" i="23"/>
  <c r="G11" i="16"/>
  <c r="I17" i="31"/>
  <c r="H10" i="25"/>
  <c r="H16" i="13"/>
  <c r="D12" i="36"/>
  <c r="F15" i="23"/>
  <c r="AD15" i="23" s="1"/>
  <c r="G13" i="31"/>
  <c r="AE13" i="31" s="1"/>
  <c r="D17" i="1"/>
  <c r="F9" i="34"/>
  <c r="AD9" i="34" s="1"/>
  <c r="G8" i="27"/>
  <c r="I7" i="8"/>
  <c r="D11" i="29"/>
  <c r="D16" i="33"/>
  <c r="E6" i="13"/>
  <c r="D12" i="24"/>
  <c r="E9" i="25"/>
  <c r="G13" i="19"/>
  <c r="F6" i="11"/>
  <c r="AD6" i="11" s="1"/>
  <c r="D7" i="10"/>
  <c r="D11" i="21"/>
  <c r="G13" i="36"/>
  <c r="AE13" i="36" s="1"/>
  <c r="G15" i="30"/>
  <c r="D7" i="36"/>
  <c r="G15" i="18"/>
  <c r="AE15" i="18" s="1"/>
  <c r="F8" i="34"/>
  <c r="AD8" i="34" s="1"/>
  <c r="E11" i="16"/>
  <c r="F6" i="9"/>
  <c r="AD6" i="9" s="1"/>
  <c r="F14" i="37"/>
  <c r="AD14" i="37" s="1"/>
  <c r="H10" i="17"/>
  <c r="G9" i="7"/>
  <c r="E12" i="13"/>
  <c r="AB12" i="13" s="1" a="1"/>
  <c r="AB12" i="13" s="1"/>
  <c r="E12" i="17"/>
  <c r="D13" i="24"/>
  <c r="F7" i="18"/>
  <c r="AD7" i="18" s="1"/>
  <c r="H13" i="34"/>
  <c r="AF13" i="34" s="1"/>
  <c r="F10" i="13"/>
  <c r="AD10" i="13" s="1"/>
  <c r="I17" i="20"/>
  <c r="D7" i="30"/>
  <c r="D9" i="31"/>
  <c r="F8" i="16"/>
  <c r="AD8" i="16" s="1"/>
  <c r="G9" i="27"/>
  <c r="E17" i="13"/>
  <c r="F10" i="16"/>
  <c r="AD10" i="16" s="1"/>
  <c r="F8" i="21"/>
  <c r="AD8" i="21" s="1"/>
  <c r="I14" i="36"/>
  <c r="G8" i="1"/>
  <c r="AE8" i="1" s="1"/>
  <c r="G12" i="13"/>
  <c r="F17" i="1"/>
  <c r="AD17" i="1" s="1"/>
  <c r="H14" i="9"/>
  <c r="AF14" i="9" s="1"/>
  <c r="E9" i="37"/>
  <c r="G6" i="33"/>
  <c r="F10" i="11"/>
  <c r="AD10" i="11" s="1"/>
  <c r="F11" i="17"/>
  <c r="AD11" i="17" s="1"/>
  <c r="D16" i="11"/>
  <c r="G14" i="8"/>
  <c r="D17" i="30"/>
  <c r="I12" i="24"/>
  <c r="G10" i="17"/>
  <c r="G14" i="28"/>
  <c r="AE14" i="28" s="1"/>
  <c r="G17" i="34"/>
  <c r="AE17" i="34" s="1"/>
  <c r="AH17" i="34" s="1"/>
  <c r="F11" i="36"/>
  <c r="AD11" i="36" s="1"/>
  <c r="D12" i="15"/>
  <c r="D10" i="20"/>
  <c r="H15" i="8"/>
  <c r="F10" i="35"/>
  <c r="AD10" i="35" s="1"/>
  <c r="E6" i="1"/>
  <c r="G15" i="17"/>
  <c r="E8" i="14"/>
  <c r="H11" i="14"/>
  <c r="E8" i="11"/>
  <c r="E8" i="12"/>
  <c r="H14" i="31"/>
  <c r="AF14" i="31" s="1"/>
  <c r="I9" i="32"/>
  <c r="AG9" i="32" s="1"/>
  <c r="G8" i="11"/>
  <c r="AE8" i="11" s="1"/>
  <c r="I14" i="15"/>
  <c r="F11" i="26"/>
  <c r="AD11" i="26" s="1"/>
  <c r="E6" i="14"/>
  <c r="AB6" i="14" s="1" a="1"/>
  <c r="AB6" i="14" s="1"/>
  <c r="H15" i="15"/>
  <c r="D14" i="13"/>
  <c r="I11" i="29"/>
  <c r="G10" i="37"/>
  <c r="E9" i="21"/>
  <c r="AB9" i="21" s="1" a="1"/>
  <c r="AB9" i="21" s="1"/>
  <c r="F6" i="26"/>
  <c r="AD6" i="26" s="1"/>
  <c r="F8" i="1"/>
  <c r="AD8" i="1" s="1"/>
  <c r="E7" i="36"/>
  <c r="G16" i="37"/>
  <c r="AE16" i="37" s="1"/>
  <c r="D7" i="35"/>
  <c r="G8" i="32"/>
  <c r="H12" i="1"/>
  <c r="I16" i="27"/>
  <c r="AG16" i="27" s="1"/>
  <c r="H10" i="28"/>
  <c r="AF10" i="28" s="1"/>
  <c r="H15" i="29"/>
  <c r="E10" i="37"/>
  <c r="E6" i="16"/>
  <c r="I9" i="26"/>
  <c r="I15" i="27"/>
  <c r="G14" i="20"/>
  <c r="F17" i="28"/>
  <c r="AD17" i="28" s="1"/>
  <c r="E10" i="7"/>
  <c r="I9" i="37"/>
  <c r="F9" i="18"/>
  <c r="AD9" i="18" s="1"/>
  <c r="H10" i="36"/>
  <c r="AF10" i="36" s="1"/>
  <c r="G14" i="11"/>
  <c r="AE14" i="11" s="1"/>
  <c r="D15" i="32"/>
  <c r="I8" i="13"/>
  <c r="AG8" i="13" s="1"/>
  <c r="H9" i="24"/>
  <c r="F15" i="8"/>
  <c r="AD15" i="8" s="1"/>
  <c r="H13" i="32"/>
  <c r="F7" i="16"/>
  <c r="AD7" i="16" s="1"/>
  <c r="F6" i="14"/>
  <c r="AD6" i="14" s="1"/>
  <c r="F12" i="27"/>
  <c r="AD12" i="27" s="1"/>
  <c r="I16" i="37"/>
  <c r="E17" i="27"/>
  <c r="H6" i="30"/>
  <c r="G11" i="35"/>
  <c r="AE11" i="35" s="1"/>
  <c r="I13" i="32"/>
  <c r="AG13" i="32" s="1"/>
  <c r="I15" i="11"/>
  <c r="AG15" i="11" s="1"/>
  <c r="E11" i="25"/>
  <c r="AB11" i="25" s="1" a="1"/>
  <c r="AB11" i="25" s="1"/>
  <c r="F7" i="25"/>
  <c r="AD7" i="25" s="1"/>
  <c r="D9" i="9"/>
  <c r="I15" i="36"/>
  <c r="G11" i="36"/>
  <c r="F8" i="27"/>
  <c r="AD8" i="27" s="1"/>
  <c r="I15" i="19"/>
  <c r="G7" i="1"/>
  <c r="AE7" i="1" s="1"/>
  <c r="I11" i="25"/>
  <c r="AG11" i="25" s="1"/>
  <c r="F7" i="35"/>
  <c r="AD7" i="35" s="1"/>
  <c r="F11" i="29"/>
  <c r="AD11" i="29" s="1"/>
  <c r="G10" i="31"/>
  <c r="AE10" i="31" s="1"/>
  <c r="I8" i="26"/>
  <c r="AG8" i="26" s="1"/>
  <c r="H13" i="11"/>
  <c r="AF13" i="11" s="1"/>
  <c r="E6" i="19"/>
  <c r="D10" i="35"/>
  <c r="G13" i="23"/>
  <c r="I17" i="7"/>
  <c r="E14" i="18"/>
  <c r="AB14" i="18" s="1" a="1"/>
  <c r="AB14" i="18" s="1"/>
  <c r="H15" i="31"/>
  <c r="E13" i="26"/>
  <c r="I12" i="25"/>
  <c r="AG12" i="25" s="1"/>
  <c r="I16" i="23"/>
  <c r="H10" i="14"/>
  <c r="I16" i="36"/>
  <c r="AG16" i="36" s="1"/>
  <c r="F17" i="35"/>
  <c r="AD17" i="35" s="1"/>
  <c r="I11" i="37"/>
  <c r="E9" i="10"/>
  <c r="I11" i="17"/>
  <c r="AG11" i="17" s="1"/>
  <c r="H11" i="16"/>
  <c r="AF11" i="16" s="1"/>
  <c r="D6" i="7"/>
  <c r="D10" i="17"/>
  <c r="G17" i="19"/>
  <c r="H6" i="36"/>
  <c r="I13" i="27"/>
  <c r="F16" i="15"/>
  <c r="AD16" i="15" s="1"/>
  <c r="H16" i="36"/>
  <c r="F14" i="25"/>
  <c r="AD14" i="25" s="1"/>
  <c r="G11" i="17"/>
  <c r="H6" i="19"/>
  <c r="G12" i="9"/>
  <c r="AE12" i="9" s="1"/>
  <c r="H7" i="30"/>
  <c r="AF7" i="30" s="1"/>
  <c r="F15" i="21"/>
  <c r="AD15" i="21" s="1"/>
  <c r="I11" i="27"/>
  <c r="AG11" i="27" s="1"/>
  <c r="AH11" i="27" s="1"/>
  <c r="D6" i="1"/>
  <c r="D8" i="10"/>
  <c r="G11" i="18"/>
  <c r="D10" i="30"/>
  <c r="F17" i="14"/>
  <c r="AD17" i="14" s="1"/>
  <c r="H13" i="30"/>
  <c r="AF13" i="30" s="1"/>
  <c r="G17" i="27"/>
  <c r="I15" i="18"/>
  <c r="F14" i="16"/>
  <c r="AD14" i="16" s="1"/>
  <c r="F9" i="17"/>
  <c r="AD9" i="17" s="1"/>
  <c r="E12" i="33"/>
  <c r="E11" i="29"/>
  <c r="H12" i="35"/>
  <c r="AF12" i="35" s="1"/>
  <c r="I11" i="30"/>
  <c r="AG11" i="30" s="1"/>
  <c r="I9" i="30"/>
  <c r="D17" i="31"/>
  <c r="I10" i="34"/>
  <c r="F7" i="32"/>
  <c r="AD7" i="32" s="1"/>
  <c r="F9" i="23"/>
  <c r="AD9" i="23" s="1"/>
  <c r="G7" i="26"/>
  <c r="E6" i="20"/>
  <c r="I17" i="10"/>
  <c r="E10" i="13"/>
  <c r="G6" i="28"/>
  <c r="H17" i="17"/>
  <c r="I8" i="31"/>
  <c r="AG8" i="31" s="1"/>
  <c r="G6" i="23"/>
  <c r="AE6" i="23" s="1"/>
  <c r="F15" i="32"/>
  <c r="AD15" i="32" s="1"/>
  <c r="G16" i="36"/>
  <c r="D17" i="13"/>
  <c r="F15" i="27"/>
  <c r="AD15" i="27" s="1"/>
  <c r="H14" i="21"/>
  <c r="D15" i="11"/>
  <c r="H9" i="27"/>
  <c r="AF9" i="27" s="1"/>
  <c r="E17" i="35"/>
  <c r="D11" i="36"/>
  <c r="E6" i="25"/>
  <c r="AB6" i="25" s="1" a="1"/>
  <c r="AB6" i="25" s="1"/>
  <c r="D10" i="26"/>
  <c r="D12" i="14"/>
  <c r="H9" i="29"/>
  <c r="AF9" i="29" s="1"/>
  <c r="E7" i="15"/>
  <c r="AB7" i="15" s="1" a="1"/>
  <c r="AB7" i="15" s="1"/>
  <c r="F11" i="20"/>
  <c r="AD11" i="20" s="1"/>
  <c r="E6" i="15"/>
  <c r="G8" i="36"/>
  <c r="G17" i="36"/>
  <c r="I8" i="34"/>
  <c r="AG8" i="34" s="1"/>
  <c r="G16" i="30"/>
  <c r="G9" i="24"/>
  <c r="I8" i="29"/>
  <c r="I8" i="8"/>
  <c r="I13" i="35"/>
  <c r="AG13" i="35" s="1"/>
  <c r="D8" i="34"/>
  <c r="F9" i="32"/>
  <c r="AD9" i="32" s="1"/>
  <c r="I7" i="7"/>
  <c r="AG7" i="7" s="1"/>
  <c r="F6" i="21"/>
  <c r="AD6" i="21" s="1"/>
  <c r="I6" i="23"/>
  <c r="AG6" i="23" s="1"/>
  <c r="F7" i="20"/>
  <c r="AD7" i="20" s="1"/>
  <c r="I13" i="13"/>
  <c r="I12" i="13"/>
  <c r="I8" i="37"/>
  <c r="AG8" i="37" s="1"/>
  <c r="F10" i="26"/>
  <c r="AD10" i="26" s="1"/>
  <c r="F17" i="18"/>
  <c r="AD17" i="18" s="1"/>
  <c r="E13" i="30"/>
  <c r="F10" i="8"/>
  <c r="AD10" i="8" s="1"/>
  <c r="E10" i="1"/>
  <c r="G15" i="8"/>
  <c r="AE15" i="8" s="1"/>
  <c r="I12" i="17"/>
  <c r="G17" i="8"/>
  <c r="AE17" i="8" s="1"/>
  <c r="I16" i="29"/>
  <c r="AG16" i="29" s="1"/>
  <c r="G14" i="33"/>
  <c r="AE14" i="33" s="1"/>
  <c r="F16" i="26"/>
  <c r="AD16" i="26" s="1"/>
  <c r="I16" i="26"/>
  <c r="E10" i="26"/>
  <c r="D17" i="14"/>
  <c r="H9" i="28"/>
  <c r="G16" i="9"/>
  <c r="AE16" i="9" s="1"/>
  <c r="AH16" i="9" s="1"/>
  <c r="D8" i="14"/>
  <c r="E8" i="20"/>
  <c r="E11" i="13"/>
  <c r="D14" i="1"/>
  <c r="G6" i="9"/>
  <c r="H15" i="18"/>
  <c r="AF15" i="18" s="1"/>
  <c r="G17" i="30"/>
  <c r="E15" i="29"/>
  <c r="AB15" i="29" s="1" a="1"/>
  <c r="AB15" i="29" s="1"/>
  <c r="I10" i="13"/>
  <c r="D8" i="27"/>
  <c r="H13" i="10"/>
  <c r="E13" i="25"/>
  <c r="G10" i="1"/>
  <c r="AE10" i="1" s="1"/>
  <c r="H16" i="34"/>
  <c r="D17" i="35"/>
  <c r="H9" i="23"/>
  <c r="G8" i="23"/>
  <c r="I6" i="31"/>
  <c r="E16" i="12"/>
  <c r="AB16" i="12" s="1" a="1"/>
  <c r="AB16" i="12" s="1"/>
  <c r="H13" i="16"/>
  <c r="AF13" i="16" s="1"/>
  <c r="H7" i="24"/>
  <c r="AF7" i="24" s="1"/>
  <c r="D17" i="36"/>
  <c r="D13" i="16"/>
  <c r="H9" i="20"/>
  <c r="H14" i="29"/>
  <c r="D17" i="12"/>
  <c r="D10" i="15"/>
  <c r="I12" i="35"/>
  <c r="E6" i="29"/>
  <c r="F11" i="31"/>
  <c r="AD11" i="31" s="1"/>
  <c r="G15" i="19"/>
  <c r="AE15" i="19" s="1"/>
  <c r="F6" i="29"/>
  <c r="AD6" i="29" s="1"/>
  <c r="E13" i="14"/>
  <c r="D15" i="19"/>
  <c r="E12" i="12"/>
  <c r="AB12" i="12" s="1" a="1"/>
  <c r="AB12" i="12" s="1"/>
  <c r="E12" i="27"/>
  <c r="AB12" i="27" s="1" a="1"/>
  <c r="AB12" i="27" s="1"/>
  <c r="G6" i="31"/>
  <c r="AE6" i="31" s="1"/>
  <c r="I9" i="17"/>
  <c r="I8" i="11"/>
  <c r="F7" i="31"/>
  <c r="AD7" i="31" s="1"/>
  <c r="G14" i="9"/>
  <c r="H17" i="13"/>
  <c r="E9" i="33"/>
  <c r="AB9" i="33" s="1" a="1"/>
  <c r="AB9" i="33" s="1"/>
  <c r="F12" i="19"/>
  <c r="AD12" i="19" s="1"/>
  <c r="H6" i="21"/>
  <c r="E14" i="28"/>
  <c r="D11" i="34"/>
  <c r="F15" i="1"/>
  <c r="AD15" i="1" s="1"/>
  <c r="F10" i="36"/>
  <c r="AD10" i="36" s="1"/>
  <c r="D9" i="10"/>
  <c r="H9" i="30"/>
  <c r="D15" i="1"/>
  <c r="F13" i="21"/>
  <c r="AD13" i="21" s="1"/>
  <c r="D6" i="27"/>
  <c r="H12" i="24"/>
  <c r="D15" i="26"/>
  <c r="I14" i="23"/>
  <c r="I16" i="19"/>
  <c r="F14" i="24"/>
  <c r="AD14" i="24" s="1"/>
  <c r="H11" i="18"/>
  <c r="G12" i="8"/>
  <c r="D13" i="19"/>
  <c r="D10" i="27"/>
  <c r="G9" i="9"/>
  <c r="AE9" i="9" s="1"/>
  <c r="D11" i="17"/>
  <c r="D16" i="29"/>
  <c r="G16" i="25"/>
  <c r="AE16" i="25" s="1"/>
  <c r="G9" i="31"/>
  <c r="D12" i="34"/>
  <c r="I12" i="33"/>
  <c r="AG12" i="33" s="1"/>
  <c r="H9" i="16"/>
  <c r="D17" i="21"/>
  <c r="G17" i="35"/>
  <c r="H12" i="26"/>
  <c r="AF12" i="26" s="1"/>
  <c r="F16" i="32"/>
  <c r="AD16" i="32" s="1"/>
  <c r="D12" i="26"/>
  <c r="E12" i="29"/>
  <c r="AB12" i="29" s="1" a="1"/>
  <c r="AB12" i="29" s="1"/>
  <c r="F7" i="19"/>
  <c r="AD7" i="19" s="1"/>
  <c r="E13" i="29"/>
  <c r="I10" i="27"/>
  <c r="F6" i="10"/>
  <c r="AD6" i="10" s="1"/>
  <c r="E10" i="15"/>
  <c r="H16" i="15"/>
  <c r="H17" i="37"/>
  <c r="AF17" i="37" s="1"/>
  <c r="I11" i="14"/>
  <c r="D7" i="12"/>
  <c r="I10" i="29"/>
  <c r="H8" i="24"/>
  <c r="F9" i="8"/>
  <c r="AD9" i="8" s="1"/>
  <c r="E9" i="34"/>
  <c r="F17" i="31"/>
  <c r="AD17" i="31" s="1"/>
  <c r="I9" i="11"/>
  <c r="AG9" i="11" s="1"/>
  <c r="H7" i="33"/>
  <c r="E15" i="15"/>
  <c r="D11" i="30"/>
  <c r="E10" i="23"/>
  <c r="AB10" i="23" s="1" a="1"/>
  <c r="AB10" i="23" s="1"/>
  <c r="H7" i="23"/>
  <c r="E7" i="20"/>
  <c r="AE16" i="15" l="1"/>
  <c r="AB16" i="33" a="1"/>
  <c r="AB16" i="33" s="1"/>
  <c r="AF15" i="36"/>
  <c r="AE7" i="24"/>
  <c r="AF12" i="20"/>
  <c r="AB9" i="34" a="1"/>
  <c r="AB9" i="34" s="1"/>
  <c r="AB11" i="29" a="1"/>
  <c r="AB11" i="29" s="1"/>
  <c r="AE8" i="14"/>
  <c r="AF15" i="27"/>
  <c r="AF11" i="19"/>
  <c r="AF11" i="13"/>
  <c r="AE12" i="21"/>
  <c r="AF15" i="20"/>
  <c r="AG13" i="23"/>
  <c r="AE14" i="7"/>
  <c r="AE7" i="36"/>
  <c r="AG12" i="17"/>
  <c r="AF17" i="17"/>
  <c r="AB12" i="33" a="1"/>
  <c r="AB12" i="33" s="1"/>
  <c r="AB12" i="17" a="1"/>
  <c r="AB12" i="17" s="1"/>
  <c r="AB13" i="13" a="1"/>
  <c r="AB13" i="13" s="1"/>
  <c r="AF9" i="31"/>
  <c r="AB11" i="32" a="1"/>
  <c r="AB11" i="32" s="1"/>
  <c r="AB8" i="1" a="1"/>
  <c r="AB8" i="1" s="1"/>
  <c r="AF6" i="32"/>
  <c r="AG12" i="12"/>
  <c r="AB12" i="1" a="1"/>
  <c r="AB12" i="1" s="1"/>
  <c r="AG8" i="32"/>
  <c r="AB7" i="37" a="1"/>
  <c r="AB7" i="37" s="1"/>
  <c r="AE10" i="11"/>
  <c r="AG14" i="16"/>
  <c r="AG14" i="21"/>
  <c r="AE17" i="32"/>
  <c r="AF9" i="37"/>
  <c r="AG17" i="26"/>
  <c r="AF8" i="24"/>
  <c r="AF11" i="18"/>
  <c r="AG6" i="31"/>
  <c r="AE6" i="28"/>
  <c r="AG14" i="36"/>
  <c r="AE13" i="19"/>
  <c r="AH13" i="19" s="1"/>
  <c r="AE15" i="10"/>
  <c r="AH15" i="10" s="1"/>
  <c r="AB15" i="10" a="1"/>
  <c r="AB15" i="10" s="1"/>
  <c r="AB9" i="15" a="1"/>
  <c r="AB9" i="15" s="1"/>
  <c r="AE6" i="30"/>
  <c r="AF6" i="18"/>
  <c r="AE6" i="10"/>
  <c r="AG8" i="28"/>
  <c r="AB17" i="9" a="1"/>
  <c r="AB17" i="9" s="1"/>
  <c r="AF6" i="15"/>
  <c r="AG6" i="34"/>
  <c r="AF10" i="24"/>
  <c r="AB15" i="27" a="1"/>
  <c r="AB15" i="27" s="1"/>
  <c r="AG16" i="20"/>
  <c r="AF6" i="21"/>
  <c r="AB11" i="13" a="1"/>
  <c r="AB11" i="13" s="1"/>
  <c r="AB10" i="1" a="1"/>
  <c r="AB10" i="1" s="1"/>
  <c r="AE9" i="7"/>
  <c r="AE14" i="1"/>
  <c r="AB14" i="13" a="1"/>
  <c r="AB14" i="13" s="1"/>
  <c r="AB6" i="37" a="1"/>
  <c r="AB6" i="37" s="1"/>
  <c r="AB8" i="32" a="1"/>
  <c r="AB8" i="32" s="1"/>
  <c r="AE7" i="11"/>
  <c r="AE12" i="33"/>
  <c r="AH12" i="33" s="1"/>
  <c r="AB12" i="31" a="1"/>
  <c r="AB12" i="31" s="1"/>
  <c r="AF8" i="10"/>
  <c r="AE16" i="36"/>
  <c r="AH16" i="36" s="1"/>
  <c r="AE15" i="30"/>
  <c r="AF11" i="21"/>
  <c r="AE15" i="31"/>
  <c r="AH15" i="31" s="1"/>
  <c r="AB17" i="24" a="1"/>
  <c r="AB17" i="24" s="1"/>
  <c r="AE13" i="10"/>
  <c r="AE17" i="11"/>
  <c r="AE7" i="37"/>
  <c r="AH7" i="37" s="1"/>
  <c r="AE17" i="9"/>
  <c r="AF14" i="24"/>
  <c r="AB14" i="33" a="1"/>
  <c r="AB14" i="33" s="1"/>
  <c r="AG9" i="33"/>
  <c r="AF10" i="32"/>
  <c r="AG17" i="16"/>
  <c r="AH17" i="16" s="1"/>
  <c r="AB13" i="20" a="1"/>
  <c r="AB13" i="20" s="1"/>
  <c r="AF12" i="32"/>
  <c r="AE8" i="24"/>
  <c r="AH13" i="27"/>
  <c r="AB8" i="25" a="1"/>
  <c r="AB8" i="25" s="1"/>
  <c r="AF17" i="13"/>
  <c r="AE9" i="24"/>
  <c r="AE14" i="20"/>
  <c r="AE14" i="25"/>
  <c r="AB16" i="24" a="1"/>
  <c r="AB16" i="24" s="1"/>
  <c r="AF17" i="33"/>
  <c r="AB9" i="30" a="1"/>
  <c r="AB9" i="30" s="1"/>
  <c r="AE15" i="12"/>
  <c r="AH15" i="12" s="1"/>
  <c r="AE10" i="12"/>
  <c r="AB8" i="37" a="1"/>
  <c r="AB8" i="37" s="1"/>
  <c r="AE8" i="12"/>
  <c r="AF7" i="20"/>
  <c r="AB10" i="16" a="1"/>
  <c r="AB10" i="16" s="1"/>
  <c r="AG11" i="28"/>
  <c r="AG10" i="14"/>
  <c r="AE15" i="36"/>
  <c r="AE16" i="27"/>
  <c r="AH16" i="27" s="1"/>
  <c r="AE6" i="37"/>
  <c r="AH6" i="37" s="1"/>
  <c r="AE6" i="15"/>
  <c r="AH10" i="1"/>
  <c r="AF9" i="28"/>
  <c r="AG13" i="27"/>
  <c r="AG7" i="29"/>
  <c r="AG16" i="21"/>
  <c r="AG17" i="11"/>
  <c r="AH17" i="11" s="1"/>
  <c r="AE12" i="36"/>
  <c r="AB17" i="34" a="1"/>
  <c r="AB17" i="34" s="1"/>
  <c r="AG11" i="23"/>
  <c r="AF15" i="28"/>
  <c r="AB16" i="31" a="1"/>
  <c r="AB16" i="31" s="1"/>
  <c r="AB7" i="28" a="1"/>
  <c r="AB7" i="28" s="1"/>
  <c r="AE9" i="31"/>
  <c r="AE14" i="37"/>
  <c r="AG15" i="10"/>
  <c r="AB6" i="34" a="1"/>
  <c r="AB6" i="34" s="1"/>
  <c r="AB16" i="27" a="1"/>
  <c r="AB16" i="27" s="1"/>
  <c r="AF17" i="31"/>
  <c r="AB17" i="30" a="1"/>
  <c r="AB17" i="30" s="1"/>
  <c r="AF12" i="12"/>
  <c r="AG12" i="13"/>
  <c r="AG11" i="29"/>
  <c r="AB12" i="37" a="1"/>
  <c r="AB12" i="37" s="1"/>
  <c r="AB17" i="19" a="1"/>
  <c r="AB17" i="19" s="1"/>
  <c r="AG14" i="30"/>
  <c r="AE12" i="19"/>
  <c r="AB11" i="26" a="1"/>
  <c r="AB11" i="26" s="1"/>
  <c r="AE15" i="13"/>
  <c r="AF9" i="19"/>
  <c r="AG13" i="28"/>
  <c r="AG9" i="17"/>
  <c r="AF9" i="20"/>
  <c r="AE15" i="15"/>
  <c r="AE17" i="12"/>
  <c r="AH17" i="12" s="1"/>
  <c r="AG7" i="27"/>
  <c r="AG8" i="1"/>
  <c r="AH8" i="1" s="1"/>
  <c r="AG15" i="7"/>
  <c r="AB10" i="18" a="1"/>
  <c r="AB10" i="18" s="1"/>
  <c r="AG7" i="25"/>
  <c r="AE17" i="37"/>
  <c r="AH17" i="14"/>
  <c r="AB8" i="14" a="1"/>
  <c r="AB8" i="14" s="1"/>
  <c r="AE12" i="10"/>
  <c r="AH12" i="10" s="1"/>
  <c r="AG6" i="25"/>
  <c r="AH6" i="25" s="1"/>
  <c r="AB6" i="24" a="1"/>
  <c r="AB6" i="24" s="1"/>
  <c r="AB16" i="10" a="1"/>
  <c r="AB16" i="10" s="1"/>
  <c r="AE8" i="13"/>
  <c r="AH8" i="13" s="1"/>
  <c r="AF9" i="30"/>
  <c r="AB6" i="15" a="1"/>
  <c r="AB6" i="15" s="1"/>
  <c r="AB9" i="37" a="1"/>
  <c r="AB9" i="37" s="1"/>
  <c r="AB8" i="29" a="1"/>
  <c r="AB8" i="29" s="1"/>
  <c r="AG11" i="8"/>
  <c r="AF13" i="12"/>
  <c r="AG9" i="18"/>
  <c r="AF7" i="31"/>
  <c r="AE13" i="32"/>
  <c r="AB6" i="9" a="1"/>
  <c r="AB6" i="9" s="1"/>
  <c r="AG10" i="17"/>
  <c r="AF11" i="12"/>
  <c r="AE14" i="18"/>
  <c r="AB14" i="12" a="1"/>
  <c r="AB14" i="12" s="1"/>
  <c r="AF14" i="19"/>
  <c r="AG7" i="11"/>
  <c r="AH7" i="11" s="1"/>
  <c r="AF12" i="29"/>
  <c r="AB13" i="9" a="1"/>
  <c r="AB13" i="9" s="1"/>
  <c r="AF11" i="31"/>
  <c r="AE10" i="33"/>
  <c r="AH10" i="33" s="1"/>
  <c r="AG6" i="9"/>
  <c r="AF8" i="31"/>
  <c r="AB7" i="30" a="1"/>
  <c r="AB7" i="30" s="1"/>
  <c r="AB16" i="19" a="1"/>
  <c r="AB16" i="19" s="1"/>
  <c r="AE9" i="18"/>
  <c r="AH9" i="18" s="1"/>
  <c r="AG16" i="19"/>
  <c r="AH16" i="19" s="1"/>
  <c r="AF10" i="14"/>
  <c r="AB7" i="36" a="1"/>
  <c r="AB7" i="36" s="1"/>
  <c r="AG17" i="19"/>
  <c r="AF9" i="17"/>
  <c r="AF11" i="11"/>
  <c r="AB6" i="10" a="1"/>
  <c r="AB6" i="10" s="1"/>
  <c r="AE9" i="33"/>
  <c r="AG13" i="31"/>
  <c r="AH13" i="31" s="1"/>
  <c r="AE6" i="20"/>
  <c r="AF7" i="13"/>
  <c r="AB16" i="9" a="1"/>
  <c r="AB16" i="9" s="1"/>
  <c r="AF8" i="36"/>
  <c r="AB8" i="30" a="1"/>
  <c r="AB8" i="30" s="1"/>
  <c r="AG17" i="12"/>
  <c r="AE6" i="17"/>
  <c r="AH6" i="17" s="1"/>
  <c r="AF17" i="9"/>
  <c r="AE17" i="21"/>
  <c r="AH17" i="21" s="1"/>
  <c r="AE12" i="20"/>
  <c r="AE8" i="25"/>
  <c r="AF11" i="1"/>
  <c r="AB9" i="14" a="1"/>
  <c r="AB9" i="14" s="1"/>
  <c r="AG8" i="21"/>
  <c r="AF17" i="24"/>
  <c r="AB11" i="7" a="1"/>
  <c r="AB11" i="7" s="1"/>
  <c r="AB17" i="31" a="1"/>
  <c r="AB17" i="31" s="1"/>
  <c r="AF15" i="21"/>
  <c r="AE11" i="19"/>
  <c r="AB10" i="14" a="1"/>
  <c r="AB10" i="14" s="1"/>
  <c r="AG14" i="1"/>
  <c r="AH14" i="1" s="1"/>
  <c r="AE6" i="32"/>
  <c r="AB12" i="8" a="1"/>
  <c r="AB12" i="8" s="1"/>
  <c r="AE14" i="16"/>
  <c r="AH14" i="16" s="1"/>
  <c r="AE13" i="37"/>
  <c r="AH13" i="37" s="1"/>
  <c r="AB15" i="31" a="1"/>
  <c r="AB15" i="31" s="1"/>
  <c r="AB8" i="19" a="1"/>
  <c r="AB8" i="19" s="1"/>
  <c r="AB7" i="16" a="1"/>
  <c r="AB7" i="16" s="1"/>
  <c r="AE8" i="17"/>
  <c r="AH8" i="17" s="1"/>
  <c r="AF15" i="11"/>
  <c r="AE9" i="14"/>
  <c r="AF7" i="28"/>
  <c r="AG7" i="8"/>
  <c r="AG6" i="15"/>
  <c r="AH6" i="15" s="1"/>
  <c r="AG10" i="26"/>
  <c r="AH7" i="8"/>
  <c r="AB7" i="20" a="1"/>
  <c r="AB7" i="20" s="1"/>
  <c r="AE16" i="8"/>
  <c r="AH16" i="8" s="1"/>
  <c r="AF10" i="31"/>
  <c r="AB13" i="17" a="1"/>
  <c r="AB13" i="17" s="1"/>
  <c r="AE17" i="30"/>
  <c r="AB7" i="34" a="1"/>
  <c r="AB7" i="34" s="1"/>
  <c r="AE16" i="30"/>
  <c r="AH16" i="30" s="1"/>
  <c r="AE11" i="10"/>
  <c r="AE10" i="15"/>
  <c r="AF7" i="33"/>
  <c r="AB13" i="29" a="1"/>
  <c r="AB13" i="29" s="1"/>
  <c r="AH6" i="31"/>
  <c r="AG10" i="13"/>
  <c r="AE13" i="23"/>
  <c r="AF9" i="24"/>
  <c r="AF15" i="15"/>
  <c r="AF15" i="8"/>
  <c r="AF13" i="7"/>
  <c r="AF17" i="32"/>
  <c r="AF6" i="12"/>
  <c r="AF16" i="24"/>
  <c r="AF6" i="14"/>
  <c r="AG10" i="20"/>
  <c r="AH10" i="20" s="1"/>
  <c r="AB14" i="11" a="1"/>
  <c r="AB14" i="11" s="1"/>
  <c r="AG12" i="9"/>
  <c r="AH12" i="9" s="1"/>
  <c r="AH13" i="32"/>
  <c r="AF15" i="33"/>
  <c r="AG16" i="11"/>
  <c r="AB14" i="19" a="1"/>
  <c r="AB14" i="19" s="1"/>
  <c r="AF6" i="1"/>
  <c r="AB16" i="13" a="1"/>
  <c r="AB16" i="13" s="1"/>
  <c r="AG6" i="10"/>
  <c r="AB10" i="21" a="1"/>
  <c r="AB10" i="21" s="1"/>
  <c r="AG9" i="23"/>
  <c r="AB17" i="16" a="1"/>
  <c r="AB17" i="16" s="1"/>
  <c r="AB11" i="23" a="1"/>
  <c r="AB11" i="23" s="1"/>
  <c r="AE10" i="8"/>
  <c r="AH6" i="23"/>
  <c r="AB6" i="19" a="1"/>
  <c r="AB6" i="19" s="1"/>
  <c r="AG14" i="25"/>
  <c r="AH14" i="25" s="1"/>
  <c r="AE16" i="13"/>
  <c r="AF16" i="1"/>
  <c r="AG14" i="15"/>
  <c r="AE12" i="13"/>
  <c r="AE7" i="19"/>
  <c r="AF15" i="14"/>
  <c r="AB7" i="7" a="1"/>
  <c r="AB7" i="7" s="1"/>
  <c r="AB13" i="37" a="1"/>
  <c r="AB13" i="37" s="1"/>
  <c r="AB17" i="8" a="1"/>
  <c r="AB17" i="8" s="1"/>
  <c r="AF9" i="25"/>
  <c r="AH13" i="21"/>
  <c r="AH12" i="21"/>
  <c r="AF14" i="20"/>
  <c r="AF7" i="21"/>
  <c r="AG16" i="1"/>
  <c r="AH16" i="1" s="1"/>
  <c r="AE6" i="34"/>
  <c r="AH6" i="34" s="1"/>
  <c r="AF13" i="33"/>
  <c r="AF11" i="20"/>
  <c r="AE16" i="20"/>
  <c r="AB8" i="17" a="1"/>
  <c r="AB8" i="17" s="1"/>
  <c r="AH14" i="15"/>
  <c r="AF8" i="9"/>
  <c r="AE12" i="8"/>
  <c r="AB13" i="14" a="1"/>
  <c r="AB13" i="14" s="1"/>
  <c r="AE6" i="9"/>
  <c r="AH6" i="9" s="1"/>
  <c r="AH12" i="17"/>
  <c r="AG11" i="37"/>
  <c r="AE8" i="32"/>
  <c r="AH8" i="11"/>
  <c r="AF16" i="13"/>
  <c r="AF7" i="36"/>
  <c r="AB12" i="10" a="1"/>
  <c r="AB12" i="10" s="1"/>
  <c r="AF17" i="1"/>
  <c r="AF8" i="25"/>
  <c r="AG10" i="19"/>
  <c r="AH10" i="19" s="1"/>
  <c r="AE10" i="10"/>
  <c r="AF12" i="8"/>
  <c r="AE10" i="26"/>
  <c r="AG12" i="8"/>
  <c r="AF6" i="16"/>
  <c r="AE6" i="19"/>
  <c r="AB16" i="1" a="1"/>
  <c r="AB16" i="1" s="1"/>
  <c r="AE7" i="9"/>
  <c r="AE14" i="29"/>
  <c r="AH14" i="29" s="1"/>
  <c r="AG9" i="28"/>
  <c r="AG12" i="19"/>
  <c r="AE12" i="18"/>
  <c r="AH12" i="18" s="1"/>
  <c r="AE9" i="15"/>
  <c r="AF10" i="18"/>
  <c r="AH10" i="11"/>
  <c r="AG13" i="29"/>
  <c r="AF12" i="30"/>
  <c r="AB11" i="34" a="1"/>
  <c r="AB11" i="34" s="1"/>
  <c r="AG17" i="13"/>
  <c r="AF6" i="13"/>
  <c r="AB9" i="26" a="1"/>
  <c r="AB9" i="26" s="1"/>
  <c r="AF9" i="12"/>
  <c r="AG6" i="28"/>
  <c r="AH6" i="28" s="1"/>
  <c r="AE17" i="24"/>
  <c r="AF13" i="15"/>
  <c r="AG15" i="24"/>
  <c r="AH11" i="23"/>
  <c r="AG10" i="7"/>
  <c r="AE10" i="7"/>
  <c r="AB14" i="28" a="1"/>
  <c r="AB14" i="28" s="1"/>
  <c r="AF6" i="19"/>
  <c r="AH10" i="31"/>
  <c r="AH14" i="28"/>
  <c r="AF10" i="25"/>
  <c r="AG6" i="26"/>
  <c r="AB7" i="35" a="1"/>
  <c r="AB7" i="35" s="1"/>
  <c r="AB12" i="19" a="1"/>
  <c r="AB12" i="19" s="1"/>
  <c r="AE7" i="33"/>
  <c r="AH7" i="33" s="1"/>
  <c r="AE12" i="34"/>
  <c r="AH12" i="34" s="1"/>
  <c r="AF14" i="35"/>
  <c r="AH6" i="30"/>
  <c r="AE8" i="28"/>
  <c r="AH8" i="28" s="1"/>
  <c r="AG6" i="19"/>
  <c r="AG11" i="33"/>
  <c r="AH11" i="33" s="1"/>
  <c r="AB17" i="36" a="1"/>
  <c r="AB17" i="36" s="1"/>
  <c r="AE13" i="1"/>
  <c r="AB17" i="7" a="1"/>
  <c r="AB17" i="7" s="1"/>
  <c r="AE8" i="35"/>
  <c r="AG7" i="21"/>
  <c r="AH7" i="21" s="1"/>
  <c r="AG10" i="15"/>
  <c r="AE7" i="27"/>
  <c r="AH13" i="7"/>
  <c r="AE11" i="1"/>
  <c r="AH7" i="7"/>
  <c r="AE15" i="24"/>
  <c r="AF9" i="9"/>
  <c r="AB8" i="8" a="1"/>
  <c r="AB8" i="8" s="1"/>
  <c r="AB12" i="21" a="1"/>
  <c r="AB12" i="21" s="1"/>
  <c r="AB7" i="14" a="1"/>
  <c r="AB7" i="14" s="1"/>
  <c r="AF17" i="7"/>
  <c r="AG9" i="24"/>
  <c r="AE9" i="13"/>
  <c r="AH9" i="13" s="1"/>
  <c r="AG8" i="25"/>
  <c r="AF12" i="10"/>
  <c r="AF17" i="15"/>
  <c r="AH6" i="12"/>
  <c r="AF9" i="21"/>
  <c r="AG11" i="36"/>
  <c r="AF7" i="8"/>
  <c r="AF12" i="9"/>
  <c r="AB16" i="21" a="1"/>
  <c r="AB16" i="21" s="1"/>
  <c r="AG8" i="23"/>
  <c r="AG12" i="1"/>
  <c r="AH12" i="1" s="1"/>
  <c r="AB8" i="15" a="1"/>
  <c r="AB8" i="15" s="1"/>
  <c r="AE7" i="25"/>
  <c r="AE13" i="20"/>
  <c r="AE8" i="18"/>
  <c r="AH8" i="18" s="1"/>
  <c r="AF9" i="11"/>
  <c r="AF16" i="8"/>
  <c r="AG6" i="16"/>
  <c r="AH6" i="16" s="1"/>
  <c r="AE13" i="9"/>
  <c r="AH13" i="9" s="1"/>
  <c r="AG8" i="7"/>
  <c r="AH8" i="7" s="1"/>
  <c r="AG12" i="26"/>
  <c r="AB11" i="11" a="1"/>
  <c r="AB11" i="11" s="1"/>
  <c r="AB6" i="36" a="1"/>
  <c r="AB6" i="36" s="1"/>
  <c r="AG8" i="19"/>
  <c r="AF11" i="7"/>
  <c r="AE7" i="18"/>
  <c r="AG10" i="29"/>
  <c r="AH10" i="29" s="1"/>
  <c r="AE17" i="35"/>
  <c r="AE8" i="23"/>
  <c r="AB10" i="13" a="1"/>
  <c r="AB10" i="13" s="1"/>
  <c r="AE11" i="17"/>
  <c r="AH11" i="17" s="1"/>
  <c r="AF6" i="30"/>
  <c r="AG9" i="37"/>
  <c r="AH9" i="37" s="1"/>
  <c r="AE10" i="17"/>
  <c r="AB9" i="25" a="1"/>
  <c r="AB9" i="25" s="1"/>
  <c r="AG17" i="31"/>
  <c r="AG17" i="33"/>
  <c r="AH17" i="33" s="1"/>
  <c r="AE12" i="7"/>
  <c r="AH12" i="7" s="1"/>
  <c r="AE11" i="29"/>
  <c r="AH11" i="29" s="1"/>
  <c r="AG7" i="1"/>
  <c r="AH7" i="1" s="1"/>
  <c r="AB10" i="24" a="1"/>
  <c r="AB10" i="24" s="1"/>
  <c r="AG16" i="28"/>
  <c r="AB7" i="18" a="1"/>
  <c r="AB7" i="18" s="1"/>
  <c r="AF12" i="17"/>
  <c r="AF13" i="36"/>
  <c r="AF13" i="23"/>
  <c r="AF11" i="14"/>
  <c r="AB15" i="23" a="1"/>
  <c r="AB15" i="23" s="1"/>
  <c r="AE9" i="12"/>
  <c r="AE8" i="9"/>
  <c r="AF17" i="30"/>
  <c r="AE11" i="7"/>
  <c r="AG9" i="14"/>
  <c r="AB9" i="10" a="1"/>
  <c r="AB9" i="10" s="1"/>
  <c r="AF16" i="34"/>
  <c r="AE9" i="27"/>
  <c r="AH9" i="27" s="1"/>
  <c r="AG14" i="7"/>
  <c r="AH14" i="7" s="1"/>
  <c r="AF16" i="32"/>
  <c r="AB13" i="10" a="1"/>
  <c r="AB13" i="10" s="1"/>
  <c r="AF8" i="14"/>
  <c r="AE10" i="21"/>
  <c r="AB13" i="36" a="1"/>
  <c r="AB13" i="36" s="1"/>
  <c r="AE12" i="30"/>
  <c r="AH12" i="30" s="1"/>
  <c r="AG10" i="8"/>
  <c r="AE10" i="27"/>
  <c r="AG11" i="32"/>
  <c r="AB15" i="36" a="1"/>
  <c r="AB15" i="36" s="1"/>
  <c r="AH12" i="11"/>
  <c r="AB12" i="15" a="1"/>
  <c r="AB12" i="15" s="1"/>
  <c r="AF12" i="1"/>
  <c r="AH17" i="15"/>
  <c r="AG12" i="35"/>
  <c r="AE7" i="26"/>
  <c r="AE14" i="8"/>
  <c r="AG6" i="29"/>
  <c r="AH6" i="29" s="1"/>
  <c r="AE8" i="31"/>
  <c r="AH8" i="31" s="1"/>
  <c r="AE11" i="20"/>
  <c r="AH6" i="36"/>
  <c r="AG15" i="13"/>
  <c r="AH15" i="13" s="1"/>
  <c r="AG13" i="30"/>
  <c r="AG7" i="24"/>
  <c r="AH7" i="24" s="1"/>
  <c r="AB7" i="17" a="1"/>
  <c r="AB7" i="17" s="1"/>
  <c r="AB7" i="10" a="1"/>
  <c r="AB7" i="10" s="1"/>
  <c r="AG7" i="18"/>
  <c r="AF7" i="1"/>
  <c r="AF10" i="29"/>
  <c r="AB13" i="21" a="1"/>
  <c r="AB13" i="21" s="1"/>
  <c r="AH7" i="34"/>
  <c r="AB11" i="10" a="1"/>
  <c r="AB11" i="10" s="1"/>
  <c r="AF7" i="23"/>
  <c r="AF16" i="15"/>
  <c r="AF12" i="24"/>
  <c r="AE14" i="9"/>
  <c r="AB13" i="26" a="1"/>
  <c r="AB13" i="26" s="1"/>
  <c r="AG15" i="19"/>
  <c r="AH15" i="19" s="1"/>
  <c r="AG15" i="27"/>
  <c r="AH15" i="27" s="1"/>
  <c r="AB11" i="16" a="1"/>
  <c r="AB11" i="16" s="1"/>
  <c r="AH9" i="11"/>
  <c r="AE15" i="16"/>
  <c r="AF8" i="12"/>
  <c r="AB13" i="19" a="1"/>
  <c r="AB13" i="19" s="1"/>
  <c r="AF6" i="35"/>
  <c r="AF15" i="12"/>
  <c r="AB16" i="11" a="1"/>
  <c r="AB16" i="11" s="1"/>
  <c r="AF12" i="27"/>
  <c r="AB10" i="33" a="1"/>
  <c r="AB10" i="33" s="1"/>
  <c r="AF17" i="23"/>
  <c r="AF7" i="35"/>
  <c r="AE6" i="26"/>
  <c r="AG16" i="24"/>
  <c r="AE17" i="7"/>
  <c r="AG17" i="1"/>
  <c r="AH17" i="1" s="1"/>
  <c r="AG6" i="33"/>
  <c r="AG17" i="25"/>
  <c r="AH11" i="28"/>
  <c r="AB7" i="24" a="1"/>
  <c r="AB7" i="24" s="1"/>
  <c r="AG7" i="14"/>
  <c r="AB7" i="27" a="1"/>
  <c r="AB7" i="27" s="1"/>
  <c r="AG16" i="10"/>
  <c r="AE15" i="23"/>
  <c r="AE14" i="21"/>
  <c r="AE15" i="20"/>
  <c r="AH15" i="20" s="1"/>
  <c r="AG14" i="14"/>
  <c r="AG15" i="8"/>
  <c r="AH15" i="8" s="1"/>
  <c r="AE10" i="23"/>
  <c r="AH10" i="23" s="1"/>
  <c r="AG7" i="15"/>
  <c r="AB12" i="16" a="1"/>
  <c r="AB12" i="16" s="1"/>
  <c r="AE11" i="26"/>
  <c r="AH11" i="26" s="1"/>
  <c r="AG13" i="15"/>
  <c r="AH13" i="15" s="1"/>
  <c r="AF8" i="17"/>
  <c r="AF10" i="10"/>
  <c r="AG16" i="13"/>
  <c r="AF12" i="11"/>
  <c r="AB8" i="9" a="1"/>
  <c r="AB8" i="9" s="1"/>
  <c r="AB13" i="27" a="1"/>
  <c r="AB13" i="27" s="1"/>
  <c r="AF15" i="35"/>
  <c r="AB10" i="15" a="1"/>
  <c r="AB10" i="15" s="1"/>
  <c r="AB13" i="25" a="1"/>
  <c r="AB13" i="25" s="1"/>
  <c r="AF14" i="21"/>
  <c r="AF6" i="36"/>
  <c r="AF15" i="31"/>
  <c r="AG9" i="26"/>
  <c r="AE10" i="37"/>
  <c r="AH10" i="37" s="1"/>
  <c r="AE15" i="17"/>
  <c r="AH14" i="37"/>
  <c r="AF8" i="8"/>
  <c r="AF10" i="27"/>
  <c r="AB15" i="12" a="1"/>
  <c r="AB15" i="12" s="1"/>
  <c r="AG13" i="33"/>
  <c r="AH13" i="33" s="1"/>
  <c r="AF14" i="11"/>
  <c r="AB7" i="23" a="1"/>
  <c r="AB7" i="23" s="1"/>
  <c r="AB10" i="30" a="1"/>
  <c r="AB10" i="30" s="1"/>
  <c r="AE13" i="14"/>
  <c r="AG15" i="34"/>
  <c r="AF6" i="31"/>
  <c r="AB17" i="26" a="1"/>
  <c r="AB17" i="26" s="1"/>
  <c r="AB14" i="1" a="1"/>
  <c r="AB14" i="1" s="1"/>
  <c r="AE17" i="17"/>
  <c r="AE11" i="37"/>
  <c r="AB11" i="19" a="1"/>
  <c r="AB11" i="19" s="1"/>
  <c r="AF10" i="11"/>
  <c r="AG6" i="32"/>
  <c r="AF9" i="35"/>
  <c r="AB14" i="24" a="1"/>
  <c r="AB14" i="24" s="1"/>
  <c r="AE9" i="32"/>
  <c r="AH9" i="32" s="1"/>
  <c r="AH9" i="1"/>
  <c r="AB13" i="7" a="1"/>
  <c r="AB13" i="7" s="1"/>
  <c r="AG9" i="30"/>
  <c r="AF15" i="29"/>
  <c r="AG16" i="18"/>
  <c r="AE16" i="10"/>
  <c r="AE7" i="15"/>
  <c r="AF16" i="10"/>
  <c r="AB10" i="29" a="1"/>
  <c r="AB10" i="29" s="1"/>
  <c r="AE12" i="15"/>
  <c r="AF17" i="34"/>
  <c r="AG7" i="31"/>
  <c r="AG17" i="21"/>
  <c r="AG8" i="14"/>
  <c r="AH8" i="14" s="1"/>
  <c r="AE6" i="14"/>
  <c r="AF14" i="32"/>
  <c r="AB8" i="21" a="1"/>
  <c r="AB8" i="21" s="1"/>
  <c r="AG7" i="26"/>
  <c r="AF7" i="19"/>
  <c r="AG6" i="8"/>
  <c r="AB14" i="23" a="1"/>
  <c r="AB14" i="23" s="1"/>
  <c r="AB10" i="19" a="1"/>
  <c r="AB10" i="19" s="1"/>
  <c r="AG12" i="15"/>
  <c r="AG17" i="17"/>
  <c r="AE15" i="33"/>
  <c r="AH15" i="33" s="1"/>
  <c r="AG17" i="30"/>
  <c r="AB16" i="18" a="1"/>
  <c r="AB16" i="18" s="1"/>
  <c r="AB12" i="36" a="1"/>
  <c r="AB12" i="36" s="1"/>
  <c r="AE9" i="16"/>
  <c r="AH9" i="16" s="1"/>
  <c r="AF15" i="16"/>
  <c r="AB17" i="28" a="1"/>
  <c r="AB17" i="28" s="1"/>
  <c r="AB11" i="18" a="1"/>
  <c r="AB11" i="18" s="1"/>
  <c r="AG9" i="12"/>
  <c r="AE15" i="11"/>
  <c r="AH15" i="11" s="1"/>
  <c r="AG16" i="33"/>
  <c r="AH16" i="33" s="1"/>
  <c r="AF17" i="35"/>
  <c r="AG7" i="35"/>
  <c r="AH7" i="35" s="1"/>
  <c r="AG11" i="16"/>
  <c r="AB12" i="7" a="1"/>
  <c r="AB12" i="7" s="1"/>
  <c r="AE11" i="15"/>
  <c r="AH7" i="28"/>
  <c r="AB12" i="35" a="1"/>
  <c r="AB12" i="35" s="1"/>
  <c r="AF7" i="34"/>
  <c r="AB9" i="7" a="1"/>
  <c r="AB9" i="7" s="1"/>
  <c r="AF14" i="33"/>
  <c r="AF6" i="10"/>
  <c r="AE10" i="36"/>
  <c r="AB16" i="35" a="1"/>
  <c r="AB16" i="35" s="1"/>
  <c r="AE7" i="32"/>
  <c r="AH7" i="32" s="1"/>
  <c r="AE17" i="13"/>
  <c r="AE16" i="21"/>
  <c r="AE17" i="20"/>
  <c r="AE9" i="26"/>
  <c r="AG8" i="24"/>
  <c r="AG10" i="36"/>
  <c r="AB9" i="9" a="1"/>
  <c r="AB9" i="9" s="1"/>
  <c r="AF17" i="20"/>
  <c r="AB6" i="12" a="1"/>
  <c r="AB6" i="12" s="1"/>
  <c r="AB15" i="7" a="1"/>
  <c r="AB15" i="7" s="1"/>
  <c r="AB6" i="7" a="1"/>
  <c r="AB6" i="7" s="1"/>
  <c r="AE14" i="24"/>
  <c r="AF11" i="28"/>
  <c r="AB15" i="34" a="1"/>
  <c r="AB15" i="34" s="1"/>
  <c r="AF6" i="25"/>
  <c r="AB7" i="32" a="1"/>
  <c r="AB7" i="32" s="1"/>
  <c r="AB17" i="33" a="1"/>
  <c r="AB17" i="33" s="1"/>
  <c r="AE14" i="30"/>
  <c r="AG9" i="29"/>
  <c r="AH9" i="29" s="1"/>
  <c r="AG10" i="25"/>
  <c r="AH10" i="25" s="1"/>
  <c r="AG9" i="8"/>
  <c r="AF14" i="17"/>
  <c r="AE12" i="28"/>
  <c r="AH12" i="28" s="1"/>
  <c r="AG7" i="16"/>
  <c r="AH7" i="16" s="1"/>
  <c r="AG9" i="7"/>
  <c r="AH9" i="7" s="1"/>
  <c r="AG16" i="31"/>
  <c r="AB11" i="21" a="1"/>
  <c r="AB11" i="21" s="1"/>
  <c r="AF9" i="23"/>
  <c r="AB8" i="20" a="1"/>
  <c r="AB8" i="20" s="1"/>
  <c r="AG8" i="8"/>
  <c r="AH8" i="8" s="1"/>
  <c r="AG17" i="10"/>
  <c r="AG15" i="18"/>
  <c r="AH15" i="18" s="1"/>
  <c r="AB17" i="27" a="1"/>
  <c r="AB17" i="27" s="1"/>
  <c r="AB10" i="7" a="1"/>
  <c r="AB10" i="7" s="1"/>
  <c r="AB8" i="12" a="1"/>
  <c r="AB8" i="12" s="1"/>
  <c r="AG12" i="24"/>
  <c r="AH12" i="24" s="1"/>
  <c r="AF10" i="17"/>
  <c r="AE11" i="16"/>
  <c r="AB9" i="32" a="1"/>
  <c r="AB9" i="32" s="1"/>
  <c r="AF17" i="14"/>
  <c r="AB8" i="35" a="1"/>
  <c r="AB8" i="35" s="1"/>
  <c r="AE13" i="13"/>
  <c r="AE7" i="31"/>
  <c r="AG11" i="10"/>
  <c r="AG12" i="36"/>
  <c r="AE10" i="30"/>
  <c r="AH10" i="30" s="1"/>
  <c r="AG6" i="20"/>
  <c r="AG16" i="12"/>
  <c r="AF14" i="37"/>
  <c r="AB11" i="33" a="1"/>
  <c r="AB11" i="33" s="1"/>
  <c r="AF13" i="35"/>
  <c r="AG12" i="20"/>
  <c r="AB6" i="23" a="1"/>
  <c r="AB6" i="23" s="1"/>
  <c r="AG7" i="9"/>
  <c r="AE8" i="16"/>
  <c r="AH8" i="16" s="1"/>
  <c r="AG10" i="35"/>
  <c r="AB6" i="30" a="1"/>
  <c r="AB6" i="30" s="1"/>
  <c r="AG9" i="31"/>
  <c r="AG13" i="16"/>
  <c r="AH13" i="16" s="1"/>
  <c r="AB9" i="27" a="1"/>
  <c r="AB9" i="27" s="1"/>
  <c r="AE11" i="12"/>
  <c r="AH11" i="12" s="1"/>
  <c r="AE16" i="18"/>
  <c r="AG15" i="21"/>
  <c r="AE9" i="20"/>
  <c r="AH9" i="20" s="1"/>
  <c r="AG6" i="21"/>
  <c r="AF9" i="36"/>
  <c r="AB9" i="28" a="1"/>
  <c r="AB9" i="28" s="1"/>
  <c r="AF16" i="27"/>
  <c r="AF15" i="26"/>
  <c r="AF7" i="11"/>
  <c r="AF16" i="25"/>
  <c r="AH13" i="12"/>
  <c r="AG14" i="9"/>
  <c r="AG17" i="9"/>
  <c r="AF15" i="25"/>
  <c r="AF13" i="9"/>
  <c r="AF12" i="34"/>
  <c r="AG9" i="21"/>
  <c r="AH9" i="21" s="1"/>
  <c r="AE8" i="37"/>
  <c r="AH8" i="37" s="1"/>
  <c r="AB15" i="32" a="1"/>
  <c r="AB15" i="32" s="1"/>
  <c r="AH9" i="33"/>
  <c r="AE10" i="35"/>
  <c r="AE9" i="28"/>
  <c r="AE7" i="10"/>
  <c r="AH7" i="10" s="1"/>
  <c r="AB15" i="11" a="1"/>
  <c r="AB15" i="11" s="1"/>
  <c r="AG9" i="25"/>
  <c r="AH9" i="25" s="1"/>
  <c r="AB16" i="14" a="1"/>
  <c r="AB16" i="14" s="1"/>
  <c r="AF16" i="37"/>
  <c r="AF17" i="16"/>
  <c r="AE9" i="8"/>
  <c r="AG16" i="17"/>
  <c r="AH16" i="17" s="1"/>
  <c r="AG12" i="32"/>
  <c r="AB15" i="28" a="1"/>
  <c r="AB15" i="28" s="1"/>
  <c r="AE7" i="20"/>
  <c r="AF14" i="10"/>
  <c r="AB7" i="1" a="1"/>
  <c r="AB7" i="1" s="1"/>
  <c r="AB9" i="29" a="1"/>
  <c r="AB9" i="29" s="1"/>
  <c r="AF12" i="13"/>
  <c r="AG14" i="18"/>
  <c r="AE15" i="37"/>
  <c r="AG7" i="17"/>
  <c r="AE16" i="35"/>
  <c r="AH16" i="35" s="1"/>
  <c r="AB11" i="17" a="1"/>
  <c r="AB11" i="17" s="1"/>
  <c r="AE13" i="18"/>
  <c r="AE9" i="34"/>
  <c r="AF12" i="28"/>
  <c r="AB12" i="20" a="1"/>
  <c r="AB12" i="20" s="1"/>
  <c r="AG15" i="37"/>
  <c r="AG11" i="14"/>
  <c r="AH11" i="14" s="1"/>
  <c r="AF9" i="16"/>
  <c r="AG14" i="23"/>
  <c r="AH14" i="23" s="1"/>
  <c r="AB6" i="29" a="1"/>
  <c r="AB6" i="29" s="1"/>
  <c r="AB13" i="30" a="1"/>
  <c r="AB13" i="30" s="1"/>
  <c r="AG8" i="29"/>
  <c r="AB17" i="35" a="1"/>
  <c r="AB17" i="35" s="1"/>
  <c r="AB6" i="20" a="1"/>
  <c r="AB6" i="20" s="1"/>
  <c r="AE17" i="27"/>
  <c r="AF16" i="36"/>
  <c r="AG16" i="23"/>
  <c r="AG16" i="37"/>
  <c r="AH16" i="37" s="1"/>
  <c r="AB8" i="11" a="1"/>
  <c r="AB8" i="11" s="1"/>
  <c r="AB17" i="13" a="1"/>
  <c r="AB17" i="13" s="1"/>
  <c r="AB6" i="13" a="1"/>
  <c r="AB6" i="13" s="1"/>
  <c r="AF15" i="23"/>
  <c r="AE11" i="8"/>
  <c r="AH11" i="8" s="1"/>
  <c r="AF10" i="23"/>
  <c r="AG17" i="24"/>
  <c r="AB9" i="20" a="1"/>
  <c r="AB9" i="20" s="1"/>
  <c r="AF10" i="12"/>
  <c r="AE11" i="13"/>
  <c r="AB7" i="13" a="1"/>
  <c r="AB7" i="13" s="1"/>
  <c r="AE16" i="24"/>
  <c r="AG15" i="30"/>
  <c r="AF9" i="1"/>
  <c r="AF11" i="34"/>
  <c r="AE13" i="35"/>
  <c r="AH13" i="35" s="1"/>
  <c r="AG11" i="15"/>
  <c r="AB17" i="20" a="1"/>
  <c r="AB17" i="20" s="1"/>
  <c r="AG14" i="32"/>
  <c r="AH14" i="32" s="1"/>
  <c r="AB10" i="12" a="1"/>
  <c r="AB10" i="12" s="1"/>
  <c r="AB14" i="31" a="1"/>
  <c r="AB14" i="31" s="1"/>
  <c r="AG17" i="36"/>
  <c r="AB10" i="35" a="1"/>
  <c r="AB10" i="35" s="1"/>
  <c r="AB11" i="1" a="1"/>
  <c r="AB11" i="1" s="1"/>
  <c r="AB7" i="19" a="1"/>
  <c r="AB7" i="19" s="1"/>
  <c r="AG8" i="35"/>
  <c r="AG8" i="15"/>
  <c r="AE16" i="28"/>
  <c r="AE12" i="25"/>
  <c r="AH12" i="25" s="1"/>
  <c r="AF12" i="21"/>
  <c r="AG13" i="36"/>
  <c r="AH13" i="36" s="1"/>
  <c r="AB12" i="25" a="1"/>
  <c r="AB12" i="25" s="1"/>
  <c r="AF6" i="37"/>
  <c r="AE9" i="30"/>
  <c r="AF9" i="18"/>
  <c r="AB10" i="27" a="1"/>
  <c r="AB10" i="27" s="1"/>
  <c r="AF8" i="32"/>
  <c r="AG17" i="32"/>
  <c r="AH17" i="32" s="1"/>
  <c r="AE14" i="12"/>
  <c r="AH14" i="12" s="1"/>
  <c r="AG8" i="27"/>
  <c r="AG15" i="29"/>
  <c r="AH15" i="29" s="1"/>
  <c r="AG11" i="19"/>
  <c r="AH11" i="19" s="1"/>
  <c r="AF14" i="16"/>
  <c r="AF7" i="7"/>
  <c r="AB9" i="24" a="1"/>
  <c r="AB9" i="24" s="1"/>
  <c r="AE12" i="23"/>
  <c r="AF13" i="26"/>
  <c r="AB17" i="10" a="1"/>
  <c r="AB17" i="10" s="1"/>
  <c r="AG8" i="11"/>
  <c r="AB10" i="26" a="1"/>
  <c r="AB10" i="26" s="1"/>
  <c r="AE17" i="36"/>
  <c r="AH17" i="36" s="1"/>
  <c r="AG10" i="34"/>
  <c r="AB6" i="16" a="1"/>
  <c r="AB6" i="16" s="1"/>
  <c r="AG12" i="31"/>
  <c r="AH12" i="31" s="1"/>
  <c r="AB14" i="10" a="1"/>
  <c r="AB14" i="10" s="1"/>
  <c r="AG11" i="35"/>
  <c r="AH11" i="35" s="1"/>
  <c r="AE11" i="25"/>
  <c r="AH11" i="25" s="1"/>
  <c r="AF14" i="28"/>
  <c r="AG14" i="20"/>
  <c r="AB9" i="1" a="1"/>
  <c r="AB9" i="1" s="1"/>
  <c r="AF13" i="19"/>
  <c r="AE6" i="21"/>
  <c r="AF12" i="33"/>
  <c r="AF6" i="34"/>
  <c r="AG16" i="34"/>
  <c r="AH16" i="34" s="1"/>
  <c r="AF10" i="20"/>
  <c r="AB12" i="14" a="1"/>
  <c r="AB12" i="14" s="1"/>
  <c r="AG16" i="15"/>
  <c r="AH16" i="15" s="1"/>
  <c r="AG14" i="31"/>
  <c r="AF16" i="19"/>
  <c r="AG8" i="12"/>
  <c r="AE7" i="17"/>
  <c r="AB15" i="24" a="1"/>
  <c r="AB15" i="24" s="1"/>
  <c r="AE11" i="30"/>
  <c r="AH11" i="30" s="1"/>
  <c r="AE11" i="21"/>
  <c r="AF8" i="28"/>
  <c r="AE14" i="27"/>
  <c r="AH14" i="27" s="1"/>
  <c r="AE15" i="34"/>
  <c r="AG13" i="18"/>
  <c r="AG7" i="19"/>
  <c r="AB17" i="21" a="1"/>
  <c r="AB17" i="21" s="1"/>
  <c r="AE7" i="30"/>
  <c r="AE10" i="24"/>
  <c r="AH10" i="24" s="1"/>
  <c r="AH13" i="28"/>
  <c r="AB15" i="19" a="1"/>
  <c r="AB15" i="19" s="1"/>
  <c r="AF14" i="36"/>
  <c r="AG15" i="31"/>
  <c r="AG15" i="9"/>
  <c r="AH15" i="9" s="1"/>
  <c r="AG11" i="31"/>
  <c r="AB17" i="23" a="1"/>
  <c r="AB17" i="23" s="1"/>
  <c r="AG14" i="19"/>
  <c r="AF16" i="14"/>
  <c r="AG6" i="14"/>
  <c r="AG14" i="11"/>
  <c r="AH14" i="11" s="1"/>
  <c r="AG11" i="7"/>
  <c r="AG12" i="23"/>
  <c r="AE13" i="25"/>
  <c r="AH13" i="25" s="1"/>
  <c r="AE6" i="24"/>
  <c r="AH6" i="24" s="1"/>
  <c r="AF16" i="9"/>
  <c r="AG17" i="37"/>
  <c r="AH17" i="37" s="1"/>
  <c r="AG14" i="33"/>
  <c r="AH14" i="33" s="1"/>
  <c r="AE6" i="18"/>
  <c r="AH6" i="18" s="1"/>
  <c r="AF7" i="27"/>
  <c r="AG12" i="29"/>
  <c r="AF17" i="28"/>
  <c r="AE13" i="30"/>
  <c r="AB14" i="30" a="1"/>
  <c r="AB14" i="30" s="1"/>
  <c r="AE16" i="11"/>
  <c r="AF8" i="20"/>
  <c r="AE8" i="33"/>
  <c r="AH8" i="33" s="1"/>
  <c r="AG9" i="36"/>
  <c r="AH9" i="36" s="1"/>
  <c r="AG10" i="12"/>
  <c r="AH10" i="12" s="1"/>
  <c r="AF8" i="1"/>
  <c r="AG10" i="28"/>
  <c r="AF13" i="1"/>
  <c r="AF10" i="33"/>
  <c r="AE14" i="13"/>
  <c r="AG6" i="35"/>
  <c r="AH6" i="35" s="1"/>
  <c r="AE13" i="24"/>
  <c r="AH13" i="24" s="1"/>
  <c r="AE16" i="16"/>
  <c r="AF10" i="21"/>
  <c r="AE11" i="9"/>
  <c r="AB17" i="12" a="1"/>
  <c r="AB17" i="12" s="1"/>
  <c r="AB7" i="33" a="1"/>
  <c r="AB7" i="33" s="1"/>
  <c r="AF14" i="29"/>
  <c r="AF13" i="10"/>
  <c r="AE11" i="18"/>
  <c r="AH11" i="18" s="1"/>
  <c r="AE17" i="19"/>
  <c r="AE11" i="36"/>
  <c r="AF13" i="32"/>
  <c r="AB6" i="1" a="1"/>
  <c r="AB6" i="1" s="1"/>
  <c r="AE8" i="27"/>
  <c r="AG10" i="37"/>
  <c r="AB14" i="20" a="1"/>
  <c r="AB14" i="20" s="1"/>
  <c r="AB16" i="30" a="1"/>
  <c r="AB16" i="30" s="1"/>
  <c r="AB14" i="26" a="1"/>
  <c r="AB14" i="26" s="1"/>
  <c r="AE13" i="29"/>
  <c r="AH13" i="29" s="1"/>
  <c r="AB10" i="32" a="1"/>
  <c r="AB10" i="32" s="1"/>
  <c r="AF8" i="34"/>
  <c r="AE12" i="16"/>
  <c r="AF16" i="30"/>
  <c r="AB15" i="15" a="1"/>
  <c r="AB15" i="15" s="1"/>
  <c r="AG10" i="27"/>
  <c r="AG16" i="26"/>
  <c r="AH16" i="26" s="1"/>
  <c r="AG13" i="13"/>
  <c r="AE8" i="36"/>
  <c r="AG17" i="7"/>
  <c r="AG15" i="36"/>
  <c r="AH15" i="36" s="1"/>
  <c r="AB10" i="37" a="1"/>
  <c r="AB10" i="37" s="1"/>
  <c r="AE6" i="33"/>
  <c r="AG17" i="20"/>
  <c r="AG16" i="16"/>
  <c r="AF16" i="20"/>
  <c r="AG13" i="11"/>
  <c r="AH13" i="11" s="1"/>
  <c r="AE17" i="18"/>
  <c r="AH17" i="18" s="1"/>
  <c r="AE10" i="14"/>
  <c r="AH10" i="14" s="1"/>
  <c r="AE15" i="21"/>
  <c r="AE11" i="11"/>
  <c r="AH11" i="11" s="1"/>
  <c r="AF15" i="1"/>
  <c r="AE8" i="29"/>
  <c r="AB12" i="32" a="1"/>
  <c r="AB12" i="32" s="1"/>
  <c r="AG15" i="17"/>
  <c r="AF17" i="19"/>
  <c r="AE9" i="17"/>
  <c r="AG13" i="14"/>
  <c r="AE8" i="19"/>
  <c r="AH8" i="19" s="1"/>
  <c r="AE13" i="34"/>
  <c r="AB8" i="36" a="1"/>
  <c r="AB8" i="36" s="1"/>
  <c r="AG8" i="9"/>
  <c r="AE14" i="26"/>
  <c r="AE17" i="26"/>
  <c r="AH17" i="26" s="1"/>
  <c r="AB6" i="8" a="1"/>
  <c r="AB6" i="8" s="1"/>
  <c r="AE15" i="32"/>
  <c r="AB15" i="1" a="1"/>
  <c r="AB15" i="1" s="1"/>
  <c r="AG6" i="13"/>
  <c r="AH6" i="13" s="1"/>
  <c r="AB6" i="27" a="1"/>
  <c r="AB6" i="27" s="1"/>
  <c r="AB8" i="26" a="1"/>
  <c r="AB8" i="26" s="1"/>
  <c r="AG15" i="32"/>
  <c r="AF6" i="27"/>
  <c r="AG13" i="20"/>
  <c r="AB14" i="34" a="1"/>
  <c r="AB14" i="34" s="1"/>
  <c r="AG13" i="1"/>
  <c r="AF6" i="23"/>
  <c r="AG12" i="16"/>
  <c r="AE16" i="31"/>
  <c r="AB15" i="8" a="1"/>
  <c r="AB15" i="8" s="1"/>
  <c r="AE11" i="32"/>
  <c r="AG8" i="30"/>
  <c r="AH8" i="30" s="1"/>
  <c r="AG15" i="28"/>
  <c r="AF10" i="1"/>
  <c r="AE8" i="10"/>
  <c r="AH8" i="10" s="1"/>
  <c r="AB14" i="37" a="1"/>
  <c r="AB14" i="37" s="1"/>
  <c r="AB13" i="16" a="1"/>
  <c r="AB13" i="16" s="1"/>
  <c r="AB16" i="29" a="1"/>
  <c r="AB16" i="29" s="1"/>
  <c r="AG10" i="21"/>
  <c r="AB11" i="35" a="1"/>
  <c r="AB11" i="35" s="1"/>
  <c r="AG17" i="23"/>
  <c r="AH17" i="23" s="1"/>
  <c r="AE14" i="36"/>
  <c r="AH14" i="36" s="1"/>
  <c r="AB16" i="36" a="1"/>
  <c r="AB16" i="36" s="1"/>
  <c r="AF14" i="8"/>
  <c r="AG13" i="34"/>
  <c r="AE17" i="10"/>
  <c r="AG17" i="8"/>
  <c r="AH17" i="8" s="1"/>
  <c r="AE9" i="23"/>
  <c r="AH9" i="23" s="1"/>
  <c r="AF12" i="36"/>
  <c r="AF11" i="35"/>
  <c r="AE8" i="21"/>
  <c r="AH8" i="21" s="1"/>
  <c r="AF6" i="11"/>
  <c r="AB13" i="23" a="1"/>
  <c r="AB13" i="23" s="1"/>
  <c r="AE16" i="23"/>
  <c r="AH16" i="23" s="1"/>
  <c r="AB10" i="20" a="1"/>
  <c r="AB10" i="20" s="1"/>
  <c r="AB6" i="18" a="1"/>
  <c r="AB6" i="18" s="1"/>
  <c r="AB10" i="8" a="1"/>
  <c r="AB10" i="8" s="1"/>
  <c r="AG13" i="17"/>
  <c r="AH13" i="17" s="1"/>
  <c r="AE11" i="34"/>
  <c r="AH11" i="34" s="1"/>
  <c r="AE6" i="27"/>
  <c r="AH6" i="27" s="1"/>
  <c r="AF8" i="11"/>
  <c r="AG14" i="26"/>
  <c r="AG14" i="24"/>
  <c r="AE8" i="15"/>
  <c r="AE7" i="14"/>
  <c r="AF9" i="32"/>
  <c r="AF16" i="26"/>
  <c r="AE17" i="25"/>
  <c r="AG17" i="35"/>
  <c r="AF16" i="23"/>
  <c r="AB16" i="26" a="1"/>
  <c r="AB16" i="26" s="1"/>
  <c r="AF16" i="17"/>
  <c r="AE12" i="14"/>
  <c r="AH12" i="14" s="1"/>
  <c r="AB11" i="31" a="1"/>
  <c r="AB11" i="31" s="1"/>
  <c r="AF11" i="27"/>
  <c r="AG14" i="8"/>
  <c r="AE14" i="14"/>
  <c r="AE12" i="37"/>
  <c r="AH12" i="37" s="1"/>
  <c r="AG7" i="30"/>
  <c r="AF12" i="18"/>
  <c r="AB16" i="34" a="1"/>
  <c r="AB16" i="34" s="1"/>
  <c r="AF17" i="29"/>
  <c r="AE14" i="34"/>
  <c r="AG11" i="21"/>
  <c r="AG12" i="37"/>
  <c r="AB15" i="26" a="1"/>
  <c r="AB15" i="26" s="1"/>
  <c r="AB16" i="8" a="1"/>
  <c r="AB16" i="8" s="1"/>
  <c r="AE15" i="7"/>
  <c r="AH15" i="7" s="1"/>
  <c r="AB11" i="15" a="1"/>
  <c r="AB11" i="15" s="1"/>
  <c r="AG9" i="34"/>
  <c r="AB12" i="18" a="1"/>
  <c r="AB12" i="18" s="1"/>
  <c r="AE9" i="19"/>
  <c r="AF16" i="29"/>
  <c r="AG11" i="20"/>
  <c r="AB13" i="24" a="1"/>
  <c r="AB13" i="24" s="1"/>
  <c r="AB8" i="33" a="1"/>
  <c r="AB8" i="33" s="1"/>
  <c r="AG7" i="20"/>
  <c r="AF11" i="29"/>
  <c r="AE12" i="35"/>
  <c r="AF14" i="34"/>
  <c r="AB17" i="11" a="1"/>
  <c r="AB17" i="11" s="1"/>
  <c r="AG14" i="10"/>
  <c r="AH14" i="10" s="1"/>
  <c r="AE13" i="8"/>
  <c r="AH13" i="8" s="1"/>
  <c r="AG8" i="20"/>
  <c r="AH8" i="20" s="1"/>
  <c r="AF14" i="30"/>
  <c r="AE12" i="12"/>
  <c r="AE14" i="19"/>
  <c r="AH14" i="19" s="1"/>
  <c r="AE14" i="31"/>
  <c r="AB14" i="15" a="1"/>
  <c r="AB14" i="15" s="1"/>
  <c r="AB15" i="13" a="1"/>
  <c r="AB15" i="13" s="1"/>
  <c r="AG9" i="15"/>
  <c r="AG11" i="1"/>
  <c r="AG16" i="32"/>
  <c r="AH16" i="32" s="1"/>
  <c r="AE10" i="28"/>
  <c r="AG10" i="16"/>
  <c r="AH10" i="16" s="1"/>
  <c r="AB6" i="28" a="1"/>
  <c r="AB6" i="28" s="1"/>
  <c r="AB8" i="31" a="1"/>
  <c r="AB8" i="31" s="1"/>
  <c r="AG7" i="36"/>
  <c r="AH7" i="36" s="1"/>
  <c r="AG14" i="17"/>
  <c r="AH14" i="17" s="1"/>
  <c r="AB12" i="11" a="1"/>
  <c r="AB12" i="11" s="1"/>
  <c r="AB7" i="11" a="1"/>
  <c r="AB7" i="11" s="1"/>
  <c r="AB13" i="18" a="1"/>
  <c r="AB13" i="18" s="1"/>
  <c r="AF13" i="27"/>
  <c r="AF9" i="33"/>
  <c r="AE15" i="28"/>
  <c r="AG9" i="19"/>
  <c r="AF11" i="25"/>
  <c r="AF6" i="9"/>
  <c r="AE12" i="26"/>
  <c r="AG10" i="18"/>
  <c r="AH10" i="18" s="1"/>
  <c r="AF13" i="25"/>
  <c r="AG11" i="24"/>
  <c r="AH11" i="24" s="1"/>
  <c r="AB16" i="17" a="1"/>
  <c r="AB16" i="17" s="1"/>
  <c r="AB13" i="8" a="1"/>
  <c r="AB13" i="8" s="1"/>
  <c r="AE10" i="34"/>
  <c r="AH10" i="34" s="1"/>
  <c r="AG14" i="13"/>
  <c r="AE6" i="7"/>
  <c r="AH6" i="7" s="1"/>
  <c r="AB14" i="21" a="1"/>
  <c r="AB14" i="21" s="1"/>
  <c r="AF7" i="37"/>
  <c r="AE17" i="31"/>
  <c r="AB8" i="10" a="1"/>
  <c r="AB8" i="10" s="1"/>
  <c r="AG8" i="36"/>
  <c r="AG11" i="9"/>
  <c r="AE13" i="28"/>
  <c r="AF10" i="9"/>
  <c r="AF7" i="25"/>
  <c r="AE12" i="29"/>
  <c r="AE7" i="29"/>
  <c r="AB13" i="15" a="1"/>
  <c r="AB13" i="15" s="1"/>
  <c r="AE11" i="31"/>
  <c r="AE12" i="32"/>
  <c r="AH12" i="32" s="1"/>
  <c r="AF11" i="23"/>
  <c r="AB13" i="32" a="1"/>
  <c r="AB13" i="32" s="1"/>
  <c r="AG16" i="25"/>
  <c r="AH16" i="25" s="1"/>
  <c r="AF7" i="32"/>
  <c r="AB11" i="30" a="1"/>
  <c r="AB11" i="30" s="1"/>
  <c r="AF9" i="13"/>
  <c r="AG10" i="10"/>
  <c r="AB8" i="28" a="1"/>
  <c r="AB8" i="28" s="1"/>
  <c r="AG14" i="34"/>
  <c r="AB9" i="13" a="1"/>
  <c r="AB9" i="13" s="1"/>
  <c r="AG15" i="16"/>
  <c r="AF15" i="10"/>
  <c r="AB15" i="37" a="1"/>
  <c r="AB15" i="37" s="1"/>
  <c r="AF10" i="30"/>
  <c r="AB16" i="25" a="1"/>
  <c r="AB16" i="25" s="1"/>
  <c r="AE7" i="13"/>
  <c r="AH7" i="13" s="1"/>
  <c r="AE9" i="10"/>
  <c r="AH9" i="10" s="1"/>
  <c r="AG9" i="9"/>
  <c r="AH9" i="9" s="1"/>
  <c r="AG15" i="14"/>
  <c r="AH15" i="14" s="1"/>
  <c r="AG13" i="10"/>
  <c r="AH13" i="10" s="1"/>
  <c r="AB14" i="14" a="1"/>
  <c r="AB14" i="14" s="1"/>
  <c r="AE7" i="12"/>
  <c r="AH7" i="12" s="1"/>
  <c r="AF11" i="24"/>
  <c r="AB6" i="26" a="1"/>
  <c r="AB6" i="26" s="1"/>
  <c r="AF12" i="7"/>
  <c r="AE10" i="9"/>
  <c r="AH10" i="9" s="1"/>
  <c r="AE6" i="1"/>
  <c r="AH6" i="1" s="1"/>
  <c r="AB8" i="18" a="1"/>
  <c r="AB8" i="18" s="1"/>
  <c r="AE8" i="26"/>
  <c r="AH8" i="26" s="1"/>
  <c r="AB14" i="32" a="1"/>
  <c r="AB14" i="32" s="1"/>
  <c r="AE10" i="13"/>
  <c r="AF13" i="31"/>
  <c r="AF6" i="17"/>
  <c r="AB17" i="18" a="1"/>
  <c r="AB17" i="18" s="1"/>
  <c r="AE16" i="12"/>
  <c r="AB15" i="25" a="1"/>
  <c r="AB15" i="25" s="1"/>
  <c r="AB15" i="17" a="1"/>
  <c r="AB15" i="17" s="1"/>
  <c r="AB11" i="12" a="1"/>
  <c r="AB11" i="12" s="1"/>
  <c r="AG15" i="23"/>
  <c r="AF8" i="37"/>
  <c r="AF14" i="12"/>
  <c r="AG15" i="15"/>
  <c r="AG17" i="27"/>
  <c r="AF11" i="26"/>
  <c r="AG16" i="7"/>
  <c r="AH16" i="7" s="1"/>
  <c r="AG10" i="32"/>
  <c r="AH10" i="32" s="1"/>
  <c r="AE6" i="8"/>
  <c r="AG11" i="13"/>
  <c r="AB10" i="28" a="1"/>
  <c r="AB10" i="28" s="1"/>
  <c r="AH8" i="32" l="1"/>
  <c r="AH16" i="13"/>
  <c r="AH15" i="15"/>
  <c r="AH13" i="23"/>
  <c r="AH7" i="29"/>
  <c r="AH12" i="12"/>
  <c r="AH9" i="19"/>
  <c r="AH7" i="14"/>
  <c r="AH15" i="30"/>
  <c r="AH12" i="29"/>
  <c r="AH8" i="15"/>
  <c r="AH9" i="17"/>
  <c r="AH9" i="14"/>
  <c r="AH8" i="12"/>
  <c r="AH12" i="16"/>
  <c r="AH12" i="20"/>
  <c r="AH16" i="28"/>
  <c r="AH9" i="31"/>
  <c r="AH11" i="10"/>
  <c r="AH16" i="21"/>
  <c r="AH14" i="21"/>
  <c r="AH16" i="20"/>
  <c r="AH6" i="10"/>
  <c r="AH14" i="18"/>
  <c r="AH10" i="27"/>
  <c r="AH6" i="20"/>
  <c r="AH9" i="15"/>
  <c r="AH8" i="24"/>
  <c r="AH12" i="19"/>
  <c r="AH12" i="13"/>
  <c r="AH6" i="8"/>
  <c r="AH10" i="15"/>
  <c r="AH9" i="30"/>
  <c r="AH17" i="9"/>
  <c r="AH14" i="30"/>
  <c r="AH9" i="26"/>
  <c r="AH17" i="30"/>
  <c r="AH8" i="35"/>
  <c r="AH13" i="1"/>
  <c r="AH6" i="32"/>
  <c r="AH14" i="14"/>
  <c r="AH11" i="37"/>
  <c r="AH10" i="17"/>
  <c r="AH12" i="8"/>
  <c r="AH10" i="28"/>
  <c r="AH7" i="27"/>
  <c r="AH12" i="35"/>
  <c r="AH6" i="21"/>
  <c r="AH9" i="8"/>
  <c r="AH16" i="18"/>
  <c r="AH10" i="8"/>
  <c r="AH11" i="36"/>
  <c r="AH14" i="20"/>
  <c r="AH12" i="36"/>
  <c r="AH11" i="16"/>
  <c r="AH9" i="12"/>
  <c r="AH7" i="25"/>
  <c r="AH9" i="24"/>
  <c r="AH12" i="23"/>
  <c r="AH7" i="30"/>
  <c r="AH8" i="25"/>
  <c r="AH15" i="16"/>
  <c r="AH17" i="10"/>
  <c r="AH10" i="35"/>
  <c r="AH6" i="26"/>
  <c r="AH10" i="13"/>
  <c r="AH17" i="31"/>
  <c r="AH8" i="27"/>
  <c r="AH16" i="31"/>
  <c r="AH14" i="13"/>
  <c r="AH11" i="21"/>
  <c r="AH13" i="18"/>
  <c r="AH16" i="11"/>
  <c r="AH15" i="23"/>
  <c r="AH15" i="24"/>
  <c r="AH11" i="13"/>
  <c r="AH17" i="27"/>
  <c r="AH15" i="17"/>
  <c r="AH10" i="21"/>
  <c r="AH8" i="9"/>
  <c r="AH10" i="7"/>
  <c r="AH17" i="19"/>
  <c r="AH16" i="12"/>
  <c r="AH6" i="14"/>
  <c r="AH10" i="26"/>
  <c r="AH10" i="10"/>
  <c r="AH12" i="26"/>
  <c r="AH6" i="33"/>
  <c r="AH11" i="9"/>
  <c r="AH14" i="8"/>
  <c r="AH11" i="15"/>
  <c r="AH15" i="37"/>
  <c r="AH17" i="20"/>
  <c r="AH13" i="14"/>
  <c r="AH14" i="9"/>
  <c r="AH7" i="19"/>
  <c r="AH8" i="29"/>
  <c r="AH16" i="16"/>
  <c r="AH11" i="32"/>
  <c r="AH15" i="32"/>
  <c r="AH13" i="30"/>
  <c r="AH15" i="34"/>
  <c r="AH7" i="31"/>
  <c r="AH12" i="15"/>
  <c r="AH11" i="1"/>
  <c r="AH17" i="13"/>
  <c r="AH7" i="9"/>
  <c r="AH15" i="28"/>
  <c r="AH8" i="36"/>
  <c r="AH9" i="28"/>
  <c r="AH13" i="13"/>
  <c r="AH8" i="23"/>
  <c r="AH14" i="34"/>
  <c r="AH15" i="21"/>
  <c r="AH14" i="26"/>
  <c r="AH14" i="24"/>
  <c r="AH10" i="36"/>
  <c r="AH17" i="35"/>
  <c r="AH13" i="20"/>
  <c r="AH11" i="31"/>
  <c r="AH14" i="31"/>
  <c r="AH17" i="25"/>
  <c r="AH7" i="20"/>
  <c r="AH7" i="15"/>
  <c r="AH11" i="7"/>
  <c r="AH6" i="19"/>
  <c r="AH16" i="24"/>
  <c r="AH16" i="10"/>
  <c r="AH11" i="20"/>
  <c r="AH7" i="18"/>
  <c r="AH13" i="34"/>
  <c r="AH7" i="17"/>
  <c r="AH9" i="34"/>
  <c r="AH7" i="26"/>
  <c r="AH17" i="17"/>
  <c r="AH17" i="7"/>
  <c r="AH17" i="2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<sst xmlns="http://schemas.openxmlformats.org/spreadsheetml/2006/main" count="849" uniqueCount="117">
  <si>
    <t>上班</t>
    <phoneticPr fontId="1" type="noConversion"/>
  </si>
  <si>
    <t>下班</t>
    <phoneticPr fontId="1" type="noConversion"/>
  </si>
  <si>
    <t>指休</t>
  </si>
  <si>
    <t>補休</t>
  </si>
  <si>
    <t>病假</t>
  </si>
  <si>
    <t>上課/開會</t>
  </si>
  <si>
    <t>特休</t>
  </si>
  <si>
    <t>例</t>
  </si>
  <si>
    <t>休</t>
  </si>
  <si>
    <t>外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</si>
  <si>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</si>
  <si>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</si>
  <si>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</si>
  <si>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</si>
  <si>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</si>
  <si>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上班起始</t>
    <phoneticPr fontId="1" type="noConversion"/>
  </si>
  <si>
    <t>二段</t>
    <phoneticPr fontId="1" type="noConversion"/>
  </si>
  <si>
    <t>一段</t>
    <phoneticPr fontId="1" type="noConversion"/>
  </si>
  <si>
    <t>休息</t>
    <phoneticPr fontId="1" type="noConversion"/>
  </si>
  <si>
    <t>打卡時刻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</si>
  <si>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</si>
  <si>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</si>
  <si>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</si>
  <si>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</si>
  <si>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</si>
  <si>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</si>
  <si>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O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</si>
  <si>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</si>
  <si>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</si>
  <si>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</si>
  <si>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</si>
  <si>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</si>
  <si>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U</t>
    <phoneticPr fontId="1" type="noConversion"/>
  </si>
  <si>
    <t>V</t>
    <phoneticPr fontId="1" type="noConversion"/>
  </si>
  <si>
    <t>W</t>
    <phoneticPr fontId="1" type="noConversion"/>
  </si>
  <si>
    <t>X</t>
    <phoneticPr fontId="1" type="noConversion"/>
  </si>
  <si>
    <t>Y</t>
    <phoneticPr fontId="1" type="noConversion"/>
  </si>
  <si>
    <t>AA</t>
    <phoneticPr fontId="1" type="noConversion"/>
  </si>
  <si>
    <t>AB</t>
    <phoneticPr fontId="1" type="noConversion"/>
  </si>
  <si>
    <t>AC</t>
    <phoneticPr fontId="1" type="noConversion"/>
  </si>
  <si>
    <t>AD</t>
    <phoneticPr fontId="1" type="noConversion"/>
  </si>
  <si>
    <t>AE</t>
    <phoneticPr fontId="1" type="noConversion"/>
  </si>
  <si>
    <t>AF</t>
    <phoneticPr fontId="1" type="noConversion"/>
  </si>
  <si>
    <t>AG</t>
    <phoneticPr fontId="1" type="noConversion"/>
  </si>
  <si>
    <t>AH</t>
    <phoneticPr fontId="1" type="noConversion"/>
  </si>
  <si>
    <t>AI</t>
    <phoneticPr fontId="1" type="noConversion"/>
  </si>
  <si>
    <t>AJ</t>
    <phoneticPr fontId="1" type="noConversion"/>
  </si>
  <si>
    <t>AK</t>
    <phoneticPr fontId="1" type="noConversion"/>
  </si>
  <si>
    <t>AL</t>
    <phoneticPr fontId="1" type="noConversion"/>
  </si>
  <si>
    <t>AM</t>
    <phoneticPr fontId="1" type="noConversion"/>
  </si>
  <si>
    <t>AN</t>
    <phoneticPr fontId="1" type="noConversion"/>
  </si>
  <si>
    <t>AO</t>
    <phoneticPr fontId="1" type="noConversion"/>
  </si>
  <si>
    <t>AP</t>
    <phoneticPr fontId="1" type="noConversion"/>
  </si>
  <si>
    <t>AQ</t>
    <phoneticPr fontId="1" type="noConversion"/>
  </si>
  <si>
    <t>AR</t>
    <phoneticPr fontId="1" type="noConversion"/>
  </si>
  <si>
    <t>AS</t>
    <phoneticPr fontId="1" type="noConversion"/>
  </si>
  <si>
    <t>AT</t>
    <phoneticPr fontId="1" type="noConversion"/>
  </si>
  <si>
    <t>AU</t>
    <phoneticPr fontId="1" type="noConversion"/>
  </si>
  <si>
    <t>AV</t>
    <phoneticPr fontId="1" type="noConversion"/>
  </si>
  <si>
    <t>AW</t>
    <phoneticPr fontId="1" type="noConversion"/>
  </si>
  <si>
    <t>AX</t>
    <phoneticPr fontId="1" type="noConversion"/>
  </si>
  <si>
    <t>AY</t>
    <phoneticPr fontId="1" type="noConversion"/>
  </si>
  <si>
    <t>AZ</t>
    <phoneticPr fontId="1" type="noConversion"/>
  </si>
  <si>
    <t>BA</t>
    <phoneticPr fontId="1" type="noConversion"/>
  </si>
  <si>
    <t>BB</t>
    <phoneticPr fontId="1" type="noConversion"/>
  </si>
  <si>
    <t>BC</t>
    <phoneticPr fontId="1" type="noConversion"/>
  </si>
  <si>
    <t>BD</t>
    <phoneticPr fontId="1" type="noConversion"/>
  </si>
  <si>
    <t>BE</t>
    <phoneticPr fontId="1" type="noConversion"/>
  </si>
  <si>
    <t>BF</t>
    <phoneticPr fontId="1" type="noConversion"/>
  </si>
  <si>
    <t>BG</t>
    <phoneticPr fontId="1" type="noConversion"/>
  </si>
  <si>
    <t>BH</t>
    <phoneticPr fontId="1" type="noConversion"/>
  </si>
  <si>
    <t>BI</t>
    <phoneticPr fontId="1" type="noConversion"/>
  </si>
  <si>
    <t>BJ</t>
    <phoneticPr fontId="1" type="noConversion"/>
  </si>
  <si>
    <t>BL</t>
    <phoneticPr fontId="1" type="noConversion"/>
  </si>
  <si>
    <t>BK</t>
    <phoneticPr fontId="1" type="noConversion"/>
  </si>
  <si>
    <t>總時數</t>
    <phoneticPr fontId="1" type="noConversion"/>
  </si>
  <si>
    <t>應排休天數:</t>
  </si>
  <si>
    <t>天(</t>
  </si>
  <si>
    <t>國)</t>
  </si>
  <si>
    <t>排休</t>
  </si>
  <si>
    <t>門店A</t>
  </si>
  <si>
    <t>門店B</t>
  </si>
  <si>
    <t>門店C</t>
  </si>
  <si>
    <t>行政工作
清潔保養</t>
  </si>
  <si>
    <t>行銷活動</t>
  </si>
  <si>
    <t>Z</t>
    <phoneticPr fontId="1" type="noConversion"/>
  </si>
  <si>
    <t>BM</t>
    <phoneticPr fontId="1" type="noConversion"/>
  </si>
  <si>
    <t>月底
連上</t>
  </si>
  <si>
    <t>週六</t>
  </si>
  <si>
    <t>週日</t>
  </si>
  <si>
    <t>週一</t>
  </si>
  <si>
    <t>週二</t>
  </si>
  <si>
    <t>週三</t>
  </si>
  <si>
    <t>週四</t>
  </si>
  <si>
    <t>週五</t>
  </si>
  <si>
    <t>中午餐期上班人數</t>
  </si>
  <si>
    <t>總時數</t>
  </si>
  <si>
    <t>下午餐期上班人數</t>
  </si>
  <si>
    <t>晚間餐期上班人數</t>
  </si>
  <si>
    <t>當日時數</t>
  </si>
  <si>
    <t>上班
天數</t>
    <phoneticPr fontId="1" type="noConversion"/>
  </si>
  <si>
    <t>本列維持與前頁格式一致，請勿刪除</t>
    <phoneticPr fontId="1" type="noConversion"/>
  </si>
  <si>
    <t>應上時數</t>
  </si>
  <si>
    <t>點數
加倍</t>
  </si>
  <si>
    <t>微醺</t>
  </si>
  <si>
    <t>7月</t>
    <phoneticPr fontId="1" type="noConversion"/>
  </si>
  <si>
    <t>白霧時光               板橋傑仕堡</t>
    <phoneticPr fontId="1" type="noConversion"/>
  </si>
  <si>
    <t>張意昕</t>
    <phoneticPr fontId="1" type="noConversion"/>
  </si>
  <si>
    <t>楊衡欣</t>
    <phoneticPr fontId="1" type="noConversion"/>
  </si>
  <si>
    <t>林郁珮</t>
    <phoneticPr fontId="1" type="noConversion"/>
  </si>
  <si>
    <t>程楚茜</t>
    <phoneticPr fontId="1" type="noConversion"/>
  </si>
  <si>
    <t>宋文馨</t>
    <phoneticPr fontId="1" type="noConversion"/>
  </si>
  <si>
    <t>儲備幹部</t>
    <phoneticPr fontId="1" type="noConversion"/>
  </si>
  <si>
    <t>黃先祺</t>
    <phoneticPr fontId="1" type="noConversion"/>
  </si>
  <si>
    <t>兼職</t>
    <phoneticPr fontId="1" type="noConversion"/>
  </si>
  <si>
    <t>梁芷瑄</t>
    <phoneticPr fontId="1" type="noConversion"/>
  </si>
  <si>
    <t>正職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</si>
</sst>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_);[Red]\(0\)"/>
    <numFmt numFmtId="177" formatCode="0.0_);[Red]\(0.0\)"/>
    <numFmt numFmtId="178" formatCode="[$-404]aaa;@"/>
    <numFmt numFmtId="179" formatCode="m&quot;月&quot;d&quot;日&quot;;@"/>
    <numFmt numFmtId="180" formatCode="m&quot;月&quot;d&quot;日&quot;"/>
    <numFmt numFmtId="181" formatCode="#,##0_ ;[Red]\-#,##0\ "/>
    <numFmt numFmtId="182" formatCode="#,##0.0_ ;[Red]\-#,##0.0\ "/>
  </numFmts>
  <fonts count="18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6"/>
      <color theme="1"/>
      <name val="Arial"/>
      <family val="2"/>
    </font>
    <font>
      <sz val="10"/>
      <color rgb="FFFF0000"/>
      <name val="Arial"/>
      <family val="2"/>
    </font>
    <font>
      <sz val="16"/>
      <color theme="1"/>
      <name val="細明體"/>
      <family val="2"/>
      <charset val="136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10"/>
      <color theme="1"/>
      <name val="細明體"/>
      <family val="2"/>
      <charset val="136"/>
    </font>
    <font>
      <sz val="12"/>
      <name val="新細明體"/>
      <family val="1"/>
      <charset val="136"/>
    </font>
    <font>
      <sz val="16"/>
      <color theme="1"/>
      <name val="微軟正黑體"/>
      <family val="2"/>
      <charset val="136"/>
    </font>
    <font>
      <sz val="9"/>
      <name val="Arial"/>
      <family val="2"/>
    </font>
    <font>
      <sz val="10"/>
      <color theme="1"/>
      <name val="Microsoft JhengHei"/>
      <family val="2"/>
    </font>
    <font>
      <sz val="14"/>
      <color theme="1"/>
      <name val="微軟正黑體"/>
      <family val="2"/>
      <charset val="136"/>
    </font>
    <font>
      <sz val="14"/>
      <color theme="1"/>
      <name val="Arial"/>
      <family val="2"/>
    </font>
    <font>
      <sz val="10"/>
      <color theme="1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7" tint="0.79998168889431442"/>
        <bgColor indexed="64"/>
      </patternFill>
    </fill>
  </fills>
  <borders count="4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dotted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FF0000"/>
      </left>
      <right style="medium">
        <color rgb="FFFF0000"/>
      </right>
      <top style="medium">
        <color rgb="FF000000"/>
      </top>
      <bottom style="medium">
        <color rgb="FFFF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auto="1"/>
      </left>
      <right style="medium">
        <color rgb="FF000000"/>
      </right>
      <top style="medium">
        <color rgb="FFCCCCCC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11" fillId="0" borderId="0"/>
  </cellStyleXfs>
  <cellXfs count="171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3" xfId="0" applyFont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0" fillId="8" borderId="0" xfId="0" applyFill="1" applyAlignment="1">
      <alignment horizontal="center" vertical="center"/>
    </xf>
    <xf numFmtId="0" fontId="0" fillId="8" borderId="0" xfId="0" applyFill="1"/>
    <xf numFmtId="177" fontId="0" fillId="8" borderId="0" xfId="0" applyNumberFormat="1" applyFill="1" applyAlignment="1">
      <alignment horizontal="center" vertical="center"/>
    </xf>
    <xf numFmtId="10" fontId="0" fillId="0" borderId="0" xfId="1" applyNumberFormat="1" applyFont="1" applyAlignment="1"/>
    <xf numFmtId="0" fontId="0" fillId="0" borderId="0" xfId="0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0" xfId="2" applyBorder="1"/>
    <xf numFmtId="0" fontId="2" fillId="0" borderId="0" xfId="0" applyFont="1" applyAlignment="1">
      <alignment horizontal="center" wrapText="1"/>
    </xf>
    <xf numFmtId="176" fontId="0" fillId="8" borderId="0" xfId="0" applyNumberFormat="1" applyFill="1" applyAlignment="1">
      <alignment horizontal="center" vertical="center"/>
    </xf>
    <xf numFmtId="0" fontId="2" fillId="0" borderId="5" xfId="0" applyFont="1" applyBorder="1" applyAlignment="1">
      <alignment horizontal="center" wrapText="1"/>
    </xf>
    <xf numFmtId="177" fontId="0" fillId="0" borderId="8" xfId="0" applyNumberFormat="1" applyBorder="1" applyAlignment="1">
      <alignment horizontal="center"/>
    </xf>
    <xf numFmtId="0" fontId="2" fillId="2" borderId="3" xfId="0" applyFont="1" applyFill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8" xfId="0" applyFont="1" applyBorder="1" applyAlignment="1">
      <alignment wrapText="1"/>
    </xf>
    <xf numFmtId="0" fontId="2" fillId="0" borderId="9" xfId="0" applyFont="1" applyBorder="1" applyAlignment="1">
      <alignment horizontal="center" wrapText="1"/>
    </xf>
    <xf numFmtId="0" fontId="2" fillId="14" borderId="29" xfId="0" applyFont="1" applyFill="1" applyBorder="1" applyAlignment="1">
      <alignment horizontal="center" wrapText="1"/>
    </xf>
    <xf numFmtId="0" fontId="2" fillId="0" borderId="9" xfId="0" applyFont="1" applyBorder="1" applyAlignment="1">
      <alignment wrapText="1"/>
    </xf>
    <xf numFmtId="0" fontId="2" fillId="3" borderId="12" xfId="0" applyFont="1" applyFill="1" applyBorder="1" applyAlignment="1">
      <alignment wrapText="1"/>
    </xf>
    <xf numFmtId="0" fontId="2" fillId="9" borderId="12" xfId="0" applyFont="1" applyFill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5" borderId="12" xfId="0" applyFont="1" applyFill="1" applyBorder="1" applyAlignment="1">
      <alignment wrapText="1"/>
    </xf>
    <xf numFmtId="0" fontId="2" fillId="11" borderId="12" xfId="0" applyFont="1" applyFill="1" applyBorder="1" applyAlignment="1">
      <alignment wrapText="1"/>
    </xf>
    <xf numFmtId="0" fontId="2" fillId="6" borderId="12" xfId="0" applyFont="1" applyFill="1" applyBorder="1" applyAlignment="1">
      <alignment wrapText="1"/>
    </xf>
    <xf numFmtId="0" fontId="2" fillId="0" borderId="31" xfId="0" applyFont="1" applyBorder="1" applyAlignment="1">
      <alignment vertical="center"/>
    </xf>
    <xf numFmtId="0" fontId="2" fillId="0" borderId="31" xfId="0" applyFont="1" applyBorder="1" applyAlignment="1">
      <alignment wrapText="1"/>
    </xf>
    <xf numFmtId="0" fontId="2" fillId="7" borderId="12" xfId="0" applyFont="1" applyFill="1" applyBorder="1" applyAlignment="1">
      <alignment wrapText="1"/>
    </xf>
    <xf numFmtId="0" fontId="2" fillId="12" borderId="12" xfId="0" applyFont="1" applyFill="1" applyBorder="1" applyAlignment="1">
      <alignment wrapText="1"/>
    </xf>
    <xf numFmtId="0" fontId="2" fillId="4" borderId="12" xfId="0" applyFont="1" applyFill="1" applyBorder="1" applyAlignment="1">
      <alignment wrapText="1"/>
    </xf>
    <xf numFmtId="0" fontId="2" fillId="10" borderId="12" xfId="0" applyFont="1" applyFill="1" applyBorder="1" applyAlignment="1">
      <alignment wrapText="1"/>
    </xf>
    <xf numFmtId="0" fontId="2" fillId="13" borderId="12" xfId="0" applyFont="1" applyFill="1" applyBorder="1" applyAlignment="1">
      <alignment wrapText="1"/>
    </xf>
    <xf numFmtId="0" fontId="2" fillId="2" borderId="31" xfId="0" applyFont="1" applyFill="1" applyBorder="1" applyAlignment="1">
      <alignment wrapText="1"/>
    </xf>
    <xf numFmtId="0" fontId="2" fillId="2" borderId="32" xfId="0" applyFont="1" applyFill="1" applyBorder="1" applyAlignment="1">
      <alignment wrapText="1"/>
    </xf>
    <xf numFmtId="0" fontId="2" fillId="0" borderId="14" xfId="0" applyFont="1" applyBorder="1" applyAlignment="1">
      <alignment horizont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wrapText="1"/>
    </xf>
    <xf numFmtId="0" fontId="2" fillId="2" borderId="35" xfId="0" applyFont="1" applyFill="1" applyBorder="1" applyAlignment="1">
      <alignment horizontal="center" wrapText="1"/>
    </xf>
    <xf numFmtId="0" fontId="2" fillId="2" borderId="33" xfId="0" applyFont="1" applyFill="1" applyBorder="1" applyAlignment="1">
      <alignment horizontal="center" wrapText="1"/>
    </xf>
    <xf numFmtId="0" fontId="2" fillId="2" borderId="33" xfId="0" applyFont="1" applyFill="1" applyBorder="1" applyAlignment="1">
      <alignment wrapText="1"/>
    </xf>
    <xf numFmtId="0" fontId="8" fillId="2" borderId="33" xfId="0" applyFont="1" applyFill="1" applyBorder="1" applyAlignment="1">
      <alignment horizontal="center" wrapText="1"/>
    </xf>
    <xf numFmtId="0" fontId="2" fillId="2" borderId="26" xfId="0" applyFont="1" applyFill="1" applyBorder="1" applyAlignment="1">
      <alignment wrapText="1"/>
    </xf>
    <xf numFmtId="0" fontId="10" fillId="2" borderId="37" xfId="0" applyFont="1" applyFill="1" applyBorder="1" applyAlignment="1">
      <alignment horizontal="center" vertical="center" wrapText="1"/>
    </xf>
    <xf numFmtId="0" fontId="2" fillId="14" borderId="2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176" fontId="0" fillId="0" borderId="5" xfId="0" applyNumberFormat="1" applyBorder="1" applyAlignment="1">
      <alignment wrapText="1"/>
    </xf>
    <xf numFmtId="181" fontId="0" fillId="0" borderId="0" xfId="0" applyNumberFormat="1" applyBorder="1" applyAlignment="1">
      <alignment horizontal="center" vertical="center"/>
    </xf>
    <xf numFmtId="182" fontId="0" fillId="0" borderId="0" xfId="0" applyNumberFormat="1" applyBorder="1" applyAlignment="1">
      <alignment horizontal="center"/>
    </xf>
    <xf numFmtId="181" fontId="0" fillId="0" borderId="0" xfId="0" applyNumberFormat="1" applyBorder="1" applyAlignment="1">
      <alignment horizontal="center"/>
    </xf>
    <xf numFmtId="179" fontId="0" fillId="0" borderId="0" xfId="0" applyNumberFormat="1" applyBorder="1" applyAlignment="1">
      <alignment horizontal="center" vertical="center"/>
    </xf>
    <xf numFmtId="178" fontId="0" fillId="0" borderId="0" xfId="0" applyNumberFormat="1" applyBorder="1" applyAlignment="1">
      <alignment horizontal="center"/>
    </xf>
    <xf numFmtId="0" fontId="8" fillId="0" borderId="45" xfId="0" applyFont="1" applyFill="1" applyBorder="1" applyAlignment="1">
      <alignment horizontal="center" wrapText="1"/>
    </xf>
    <xf numFmtId="0" fontId="8" fillId="0" borderId="12" xfId="0" applyFont="1" applyFill="1" applyBorder="1" applyAlignment="1">
      <alignment horizontal="center" wrapText="1"/>
    </xf>
    <xf numFmtId="0" fontId="2" fillId="0" borderId="12" xfId="0" applyFont="1" applyFill="1" applyBorder="1" applyAlignment="1">
      <alignment wrapText="1"/>
    </xf>
    <xf numFmtId="0" fontId="8" fillId="0" borderId="33" xfId="0" applyFont="1" applyFill="1" applyBorder="1" applyAlignment="1">
      <alignment horizontal="center" wrapText="1"/>
    </xf>
    <xf numFmtId="0" fontId="8" fillId="0" borderId="13" xfId="0" applyFont="1" applyFill="1" applyBorder="1" applyAlignment="1">
      <alignment horizontal="center" wrapText="1"/>
    </xf>
    <xf numFmtId="0" fontId="2" fillId="0" borderId="13" xfId="0" applyFont="1" applyFill="1" applyBorder="1" applyAlignment="1">
      <alignment wrapText="1"/>
    </xf>
    <xf numFmtId="0" fontId="8" fillId="2" borderId="1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9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wrapText="1"/>
    </xf>
    <xf numFmtId="0" fontId="2" fillId="2" borderId="20" xfId="0" applyFont="1" applyFill="1" applyBorder="1" applyAlignment="1">
      <alignment wrapText="1"/>
    </xf>
    <xf numFmtId="0" fontId="2" fillId="2" borderId="15" xfId="0" applyFont="1" applyFill="1" applyBorder="1" applyAlignment="1">
      <alignment wrapText="1"/>
    </xf>
    <xf numFmtId="0" fontId="13" fillId="2" borderId="9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wrapText="1"/>
    </xf>
    <xf numFmtId="0" fontId="2" fillId="12" borderId="2" xfId="0" applyFont="1" applyFill="1" applyBorder="1" applyAlignment="1">
      <alignment wrapText="1"/>
    </xf>
    <xf numFmtId="0" fontId="14" fillId="12" borderId="1" xfId="0" applyFont="1" applyFill="1" applyBorder="1" applyAlignment="1">
      <alignment wrapText="1"/>
    </xf>
    <xf numFmtId="0" fontId="12" fillId="14" borderId="24" xfId="0" applyFont="1" applyFill="1" applyBorder="1" applyAlignment="1">
      <alignment horizontal="center" wrapText="1"/>
    </xf>
    <xf numFmtId="0" fontId="5" fillId="14" borderId="39" xfId="0" applyFont="1" applyFill="1" applyBorder="1" applyAlignment="1">
      <alignment horizontal="center" wrapText="1"/>
    </xf>
    <xf numFmtId="0" fontId="5" fillId="14" borderId="25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0" xfId="0" applyFont="1" applyBorder="1" applyAlignment="1">
      <alignment wrapText="1"/>
    </xf>
    <xf numFmtId="0" fontId="2" fillId="12" borderId="23" xfId="0" applyFont="1" applyFill="1" applyBorder="1" applyAlignment="1">
      <alignment horizontal="center" wrapText="1"/>
    </xf>
    <xf numFmtId="0" fontId="2" fillId="12" borderId="38" xfId="0" applyFont="1" applyFill="1" applyBorder="1" applyAlignment="1">
      <alignment horizontal="center" wrapText="1"/>
    </xf>
    <xf numFmtId="0" fontId="2" fillId="12" borderId="11" xfId="0" applyFont="1" applyFill="1" applyBorder="1" applyAlignment="1">
      <alignment horizontal="center" wrapText="1"/>
    </xf>
    <xf numFmtId="0" fontId="2" fillId="12" borderId="23" xfId="0" applyFont="1" applyFill="1" applyBorder="1" applyAlignment="1">
      <alignment wrapText="1"/>
    </xf>
    <xf numFmtId="0" fontId="2" fillId="12" borderId="9" xfId="0" applyFont="1" applyFill="1" applyBorder="1" applyAlignment="1">
      <alignment wrapText="1"/>
    </xf>
    <xf numFmtId="0" fontId="2" fillId="11" borderId="1" xfId="0" applyFont="1" applyFill="1" applyBorder="1" applyAlignment="1">
      <alignment horizontal="center" wrapText="1"/>
    </xf>
    <xf numFmtId="0" fontId="2" fillId="11" borderId="9" xfId="0" applyFont="1" applyFill="1" applyBorder="1" applyAlignment="1">
      <alignment horizontal="center" wrapText="1"/>
    </xf>
    <xf numFmtId="0" fontId="2" fillId="11" borderId="2" xfId="0" applyFont="1" applyFill="1" applyBorder="1" applyAlignment="1">
      <alignment horizontal="center" wrapText="1"/>
    </xf>
    <xf numFmtId="0" fontId="15" fillId="2" borderId="22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23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center" vertical="center" wrapText="1"/>
    </xf>
    <xf numFmtId="180" fontId="2" fillId="2" borderId="2" xfId="0" applyNumberFormat="1" applyFont="1" applyFill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178" fontId="2" fillId="2" borderId="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0" fillId="2" borderId="20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180" fontId="6" fillId="0" borderId="1" xfId="0" applyNumberFormat="1" applyFont="1" applyBorder="1" applyAlignment="1">
      <alignment horizontal="center" vertical="center" wrapText="1"/>
    </xf>
    <xf numFmtId="180" fontId="6" fillId="0" borderId="2" xfId="0" applyNumberFormat="1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center" vertical="center" wrapText="1"/>
    </xf>
    <xf numFmtId="180" fontId="2" fillId="0" borderId="2" xfId="0" applyNumberFormat="1" applyFont="1" applyBorder="1" applyAlignment="1">
      <alignment horizontal="center" vertical="center" wrapText="1"/>
    </xf>
    <xf numFmtId="0" fontId="7" fillId="14" borderId="41" xfId="0" applyFont="1" applyFill="1" applyBorder="1" applyAlignment="1">
      <alignment horizontal="center" vertical="center" wrapText="1"/>
    </xf>
    <xf numFmtId="0" fontId="5" fillId="14" borderId="42" xfId="0" applyFont="1" applyFill="1" applyBorder="1" applyAlignment="1">
      <alignment horizontal="center" vertical="center" wrapText="1"/>
    </xf>
    <xf numFmtId="0" fontId="5" fillId="14" borderId="43" xfId="0" applyFont="1" applyFill="1" applyBorder="1" applyAlignment="1">
      <alignment horizontal="center" vertical="center" wrapText="1"/>
    </xf>
    <xf numFmtId="0" fontId="5" fillId="14" borderId="44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80" fontId="6" fillId="0" borderId="9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2" borderId="14" xfId="0" applyFont="1" applyFill="1" applyBorder="1" applyAlignment="1">
      <alignment horizontal="center" wrapText="1"/>
    </xf>
    <xf numFmtId="0" fontId="2" fillId="2" borderId="20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</cellXfs>
  <cellStyles count="4">
    <cellStyle name="一般" xfId="0" builtinId="0"/>
    <cellStyle name="一般 2" xfId="3" xr:uid="{69EE536F-6F8E-44CD-8668-AE3C03FDC93E}"/>
    <cellStyle name="百分比" xfId="1" builtinId="5"/>
    <cellStyle name="超連結" xfId="2" builtinId="8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'1'!$AB$6:$AB$17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A-4FD5-A008-89473FD76E5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CA-4FD5-A008-89473FD76E5D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'1'!$AB$6:$AB$17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CA-4FD5-A008-89473FD76E5D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'1'!$AG$6:$AG$17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CA-4FD5-A008-89473FD76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176662496627174E-2"/>
          <c:y val="0.50365637285030096"/>
          <c:w val="0.93881110947580149"/>
          <c:h val="0.4963436271496991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E2F-4167-BECB-0A7F1F26D7C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AE2F-4167-BECB-0A7F1F26D7C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AE2F-4167-BECB-0A7F1F26D7C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AE2F-4167-BECB-0A7F1F26D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'2'!$AB$6:$AB$17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C-4721-B8E4-B2A33CBD888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AC-4721-B8E4-B2A33CBD8881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'2'!$AB$6:$AB$17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AC-4721-B8E4-B2A33CBD8881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'2'!$AG$6:$AG$17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AC-4721-B8E4-B2A33CBD8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12C-439B-8464-0D5DD501045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12C-439B-8464-0D5DD501045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12C-439B-8464-0D5DD5010453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712C-439B-8464-0D5DD5010453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712C-439B-8464-0D5DD5010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'3'!$AB$6:$AB$17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'3'!$AD$6:$AD$17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F-4784-AE0F-D3104F612E4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'3'!$AE$6:$AE$17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FF-4784-AE0F-D3104F612E4D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'3'!$AB$6:$AB$17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'3'!$AF$6:$AF$17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FF-4784-AE0F-D3104F612E4D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'3'!$AG$6:$AG$17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FF-4784-AE0F-D3104F612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B45-466B-8C7A-9C2EDD92F64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AB45-466B-8C7A-9C2EDD92F64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AB45-466B-8C7A-9C2EDD92F64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AB45-466B-8C7A-9C2EDD92F64B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AB45-466B-8C7A-9C2EDD92F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'4'!$AB$6:$AB$17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'4'!$AD$6:$AD$17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F-485F-9519-CC72A09C064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'4'!$AE$6:$AE$17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2F-485F-9519-CC72A09C064C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'4'!$AB$6:$AB$17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'4'!$AF$6:$AF$17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2F-485F-9519-CC72A09C064C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'4'!$AG$6:$AG$17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2F-485F-9519-CC72A09C0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'4'!#REF!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414-4E87-8461-3C76EA41F0E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'4'!#REF!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B414-4E87-8461-3C76EA41F0E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'4'!#REF!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B414-4E87-8461-3C76EA41F0E3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'4'!#REF!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B414-4E87-8461-3C76EA41F0E3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'4'!#REF!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B414-4E87-8461-3C76EA41F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'5'!$AB$6:$AB$17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'5'!$AD$6:$AD$17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C5-45CD-9523-2FF860C8DD6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'5'!$AE$6:$AE$17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C5-45CD-9523-2FF860C8DD6F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'5'!$AB$6:$AB$17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'5'!$AF$6:$AF$17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C5-45CD-9523-2FF860C8DD6F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'5'!$AG$6:$AG$17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C5-45CD-9523-2FF860C8D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'5'!#REF!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FDB-412A-B9C1-03634593B77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'5'!#REF!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FDB-412A-B9C1-03634593B77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'5'!#REF!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5FDB-412A-B9C1-03634593B779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'5'!#REF!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5FDB-412A-B9C1-03634593B779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'5'!#REF!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5FDB-412A-B9C1-03634593B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'6'!$AB$6:$AB$17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'6'!$AD$6:$AD$17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B-4D6B-9A22-9784625E2FD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'6'!$AE$6:$AE$17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AB-4D6B-9A22-9784625E2FD8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'6'!$AB$6:$AB$17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'6'!$AF$6:$AF$17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AB-4D6B-9A22-9784625E2FD8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'6'!$AG$6:$AG$17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AB-4D6B-9A22-9784625E2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'6'!#REF!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563-4DEE-B115-1BB414BE10C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'6'!#REF!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B563-4DEE-B115-1BB414BE10C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'6'!#REF!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B563-4DEE-B115-1BB414BE10C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'6'!#REF!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B563-4DEE-B115-1BB414BE10CF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'6'!#REF!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B563-4DEE-B115-1BB414BE1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'7'!$AB$6:$AB$17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'7'!$AD$6:$AD$17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C2-4DC1-9584-8250DB154A3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'7'!$AB$6:$AB$17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'7'!$AE$6:$AE$17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C2-4DC1-9584-8250DB154A36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'7'!$AB$6:$AB$17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'7'!$AF$6:$AF$17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C2-4DC1-9584-8250DB154A36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'7'!$AB$6:$AB$17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'7'!$AG$6:$AG$17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C2-4DC1-9584-8250DB154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'7'!#REF!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CC4-49AB-A829-E108AE5E2B1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'7'!#REF!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2CC4-49AB-A829-E108AE5E2B1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'7'!#REF!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2CC4-49AB-A829-E108AE5E2B1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'7'!#REF!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2CC4-49AB-A829-E108AE5E2B1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'7'!#REF!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2CC4-49AB-A829-E108AE5E2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'8'!$AB$6:$AB$17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'8'!$AD$6:$AD$17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7-484A-9774-9517DD5A2C6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'8'!$AB$6:$AB$17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'8'!$AE$6:$AE$17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B7-484A-9774-9517DD5A2C65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'8'!$AB$6:$AB$17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'8'!$AF$6:$AF$17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B7-484A-9774-9517DD5A2C65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'8'!$AB$6:$AB$17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'8'!$AG$6:$AG$17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B7-484A-9774-9517DD5A2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'8'!#REF!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647-407E-90E0-3A714DC2AB4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'8'!#REF!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647-407E-90E0-3A714DC2AB4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'8'!#REF!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647-407E-90E0-3A714DC2AB4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'8'!#REF!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7647-407E-90E0-3A714DC2A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'9'!$AB$6:$AB$17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'9'!$AD$6:$AD$17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1-4838-9B2C-4603D0F7CFA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'9'!$AB$6:$AB$17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'9'!$AE$6:$AE$17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81-4838-9B2C-4603D0F7CFA8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'9'!$AB$6:$AB$17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'9'!$AF$6:$AF$17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81-4838-9B2C-4603D0F7CFA8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'9'!$AB$6:$AB$17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'9'!$AG$6:$AG$17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81-4838-9B2C-4603D0F7C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'9'!#REF!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CFF-4032-ADC6-0888B85E384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'9'!#REF!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ACFF-4032-ADC6-0888B85E384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'9'!#REF!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ACFF-4032-ADC6-0888B85E3849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'9'!#REF!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ACFF-4032-ADC6-0888B85E3849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'9'!#REF!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ACFF-4032-ADC6-0888B85E3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'10'!$AB$6:$AB$17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'10'!$AD$6:$AD$17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B5-4673-812E-93B258D274C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'10'!$AB$6:$AB$17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'10'!$AE$6:$AE$17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B5-4673-812E-93B258D274C5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'10'!$AB$6:$AB$17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'10'!$AF$6:$AF$17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B5-4673-812E-93B258D274C5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'10'!$AB$6:$AB$17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'10'!$AG$6:$AG$17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B5-4673-812E-93B258D27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'10'!#REF!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'10'!#REF!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F3A-4972-B7BE-C6AA0363D3D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'10'!#REF!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'10'!#REF!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BF3A-4972-B7BE-C6AA0363D3D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'10'!#REF!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'10'!#REF!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BF3A-4972-B7BE-C6AA0363D3D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'10'!#REF!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'10'!#REF!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BF3A-4972-B7BE-C6AA0363D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'11'!$AB$6:$AB$17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'11'!$AD$6:$AD$17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9-43B2-8556-138A315C44D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'11'!$AB$6:$AB$17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'11'!$AE$6:$AE$17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99-43B2-8556-138A315C44DF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'11'!$AB$6:$AB$17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'11'!$AF$6:$AF$17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99-43B2-8556-138A315C44DF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'11'!$AB$6:$AB$17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'11'!$AG$6:$AG$17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99-43B2-8556-138A315C4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45E-4D58-B6E6-FBEEECBBBF8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45E-4D58-B6E6-FBEEECBBBF8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45E-4D58-B6E6-FBEEECBBBF8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45E-4D58-B6E6-FBEEECBBBF80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45E-4D58-B6E6-FBEEECBBB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'12'!$AB$6:$AB$17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'12'!$AD$6:$AD$17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35-45C9-B18A-FE74E559EA1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'12'!$AB$6:$AB$17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'12'!$AE$6:$AE$17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35-45C9-B18A-FE74E559EA18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'12'!$AB$6:$AB$17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'12'!$AF$6:$AF$17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35-45C9-B18A-FE74E559EA18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'12'!$AB$6:$AB$17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'12'!$AG$6:$AG$17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35-45C9-B18A-FE74E559E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'12'!#REF!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'12'!#REF!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2F4-4C08-BDCE-49AF26C4346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'12'!#REF!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'12'!#REF!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2F4-4C08-BDCE-49AF26C4346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'12'!#REF!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'12'!#REF!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2F4-4C08-BDCE-49AF26C43463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'12'!#REF!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'12'!#REF!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12F4-4C08-BDCE-49AF26C43463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'12'!#REF!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'12'!#REF!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2F4-4C08-BDCE-49AF26C43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'13'!$AB$6:$AB$17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'13'!$AD$6:$AD$17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A-4212-99EF-302769EF408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'13'!$AB$6:$AB$17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'13'!$AE$6:$AE$17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3A-4212-99EF-302769EF4084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'13'!$AB$6:$AB$17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'13'!$AF$6:$AF$17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3A-4212-99EF-302769EF4084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'13'!$AB$6:$AB$17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'13'!$AG$6:$AG$17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3A-4212-99EF-302769EF4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'13'!#REF!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F13-4FB3-BA51-B5D3C8E0E91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'13'!#REF!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2F13-4FB3-BA51-B5D3C8E0E91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'13'!#REF!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2F13-4FB3-BA51-B5D3C8E0E91E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'13'!#REF!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2F13-4FB3-BA51-B5D3C8E0E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'14'!$AB$6:$AB$17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'14'!$AD$6:$AD$17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1-4B8C-BDAE-F5C56A032C3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'14'!$AB$6:$AB$17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'14'!$AE$6:$AE$17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F1-4B8C-BDAE-F5C56A032C31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'14'!$AB$6:$AB$17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'14'!$AF$6:$AF$17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F1-4B8C-BDAE-F5C56A032C31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'14'!$AB$6:$AB$17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'14'!$AG$6:$AG$17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F1-4B8C-BDAE-F5C56A032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'14'!#REF!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'14'!#REF!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F76-481E-99C9-C5139092FA0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'14'!#REF!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'14'!#REF!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9F76-481E-99C9-C5139092FA0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'14'!#REF!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'14'!#REF!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9F76-481E-99C9-C5139092FA0A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'14'!#REF!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'14'!#REF!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9F76-481E-99C9-C5139092FA0A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'14'!#REF!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'14'!#REF!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9F76-481E-99C9-C5139092F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'15'!$AB$6:$AB$17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'15'!$AD$6:$AD$17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77-4A09-BA6D-6AD944A47B7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'15'!$AB$6:$AB$17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'15'!$AE$6:$AE$17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77-4A09-BA6D-6AD944A47B7C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'15'!$AB$6:$AB$17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'15'!$AF$6:$AF$17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77-4A09-BA6D-6AD944A47B7C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'15'!$AB$6:$AB$17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'15'!$AG$6:$AG$17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77-4A09-BA6D-6AD944A47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'15'!#REF!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'15'!#REF!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690-48B8-A8EB-C38ACAD42C1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'15'!#REF!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'15'!#REF!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9690-48B8-A8EB-C38ACAD42C1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'15'!#REF!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'15'!#REF!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9690-48B8-A8EB-C38ACAD42C1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'15'!#REF!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'15'!#REF!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9690-48B8-A8EB-C38ACAD42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'16'!$AB$6:$AB$17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'16'!$AD$6:$AD$17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7-4A69-BB27-61932296530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'16'!$AB$6:$AB$17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'16'!$AE$6:$AE$17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47-4A69-BB27-619322965301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'16'!$AB$6:$AB$17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'16'!$AF$6:$AF$17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47-4A69-BB27-619322965301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'16'!$AB$6:$AB$17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'16'!$AG$6:$AG$17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47-4A69-BB27-619322965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'16'!#REF!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'16'!#REF!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C15-4F96-BE1A-5BB23104711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'16'!#REF!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'16'!#REF!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C15-4F96-BE1A-5BB23104711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'16'!#REF!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'16'!#REF!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0C15-4F96-BE1A-5BB23104711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'16'!#REF!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'16'!#REF!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0C15-4F96-BE1A-5BB231047116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'16'!#REF!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'16'!#REF!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0C15-4F96-BE1A-5BB231047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'17'!$AB$6:$AB$17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'17'!$AD$6:$AD$17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B-4C08-AEDD-5669A3A8804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'17'!$AB$6:$AB$17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'17'!$AE$6:$AE$17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0B-4C08-AEDD-5669A3A8804E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'17'!$AB$6:$AB$17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'17'!$AF$6:$AF$17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0B-4C08-AEDD-5669A3A8804E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'17'!$AB$6:$AB$17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'17'!$AG$6:$AG$17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0B-4C08-AEDD-5669A3A88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'17'!#REF!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'17'!#REF!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0CA-4BE7-A1BC-2239C18FAD2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'17'!#REF!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'17'!#REF!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0CA-4BE7-A1BC-2239C18FAD2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'17'!#REF!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'17'!#REF!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0CA-4BE7-A1BC-2239C18FAD2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'17'!#REF!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'17'!#REF!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10CA-4BE7-A1BC-2239C18FAD2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'17'!#REF!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'17'!#REF!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0CA-4BE7-A1BC-2239C18FA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'18'!$AB$6:$AB$17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'18'!$AD$6:$AD$17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3-427A-9A7A-470178464FE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'18'!$AB$6:$AB$17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'18'!$AE$6:$AE$17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03-427A-9A7A-470178464FE6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'18'!$AB$6:$AB$17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'18'!$AF$6:$AF$17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03-427A-9A7A-470178464FE6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'18'!$AB$6:$AB$17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'18'!$AG$6:$AG$17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03-427A-9A7A-470178464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'18'!#REF!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'18'!#REF!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EF7-47A3-9A9B-9B9D7C5C1E4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'18'!#REF!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'18'!#REF!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EF7-47A3-9A9B-9B9D7C5C1E4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'18'!#REF!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'18'!#REF!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8EF7-47A3-9A9B-9B9D7C5C1E4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'18'!#REF!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'18'!#REF!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8EF7-47A3-9A9B-9B9D7C5C1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'19'!$AB$6:$AB$17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'19'!$AD$6:$AD$17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8-49F1-AD7B-C5F9FF787A2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'19'!$AB$6:$AB$17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'19'!$AE$6:$AE$17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C8-49F1-AD7B-C5F9FF787A2A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'19'!$AB$6:$AB$17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'19'!$AF$6:$AF$17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C8-49F1-AD7B-C5F9FF787A2A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'19'!$AB$6:$AB$17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'19'!$AG$6:$AG$17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C8-49F1-AD7B-C5F9FF787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'19'!#REF!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'19'!#REF!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7B2-4043-826D-F356D40C75B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'19'!#REF!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'19'!#REF!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7B2-4043-826D-F356D40C75B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'19'!#REF!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'19'!#REF!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7B2-4043-826D-F356D40C75B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'19'!#REF!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'19'!#REF!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77B2-4043-826D-F356D40C75BF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'19'!#REF!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'19'!#REF!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77B2-4043-826D-F356D40C7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'20'!$AB$6:$AB$17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'20'!$AD$6:$AD$17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0-405D-9C4A-AB6C7435CC6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'20'!$AE$6:$AE$17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30-405D-9C4A-AB6C7435CC6F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'20'!$AB$6:$AB$17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'20'!$AF$6:$AF$17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30-405D-9C4A-AB6C7435CC6F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'20'!$AG$6:$AG$17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30-405D-9C4A-AB6C7435C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'20'!#REF!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F96-4DE2-9312-8FD2FEC08B7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'20'!#REF!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F96-4DE2-9312-8FD2FEC08B7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'20'!#REF!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F96-4DE2-9312-8FD2FEC08B7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'20'!#REF!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7F96-4DE2-9312-8FD2FEC08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'21'!$AB$6:$AB$17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'21'!$AD$6:$AD$17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1-4647-9208-71CC606043F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'21'!$AB$6:$AB$17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'21'!$AE$6:$AE$17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21-4647-9208-71CC606043FC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'21'!$AB$6:$AB$17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'21'!$AF$6:$AF$17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21-4647-9208-71CC606043FC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'21'!$AB$6:$AB$17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'21'!$AG$6:$AG$17</c:f>
              <c:numCache>
                <c:formatCode>0.0_);[Red]\(0.0\)</c:formatCode>
                <c:ptCount val="12"/>
                <c:pt idx="0" formatCode="0_);[Red]\(0\)">
                  <c:v>0</c:v>
                </c:pt>
                <c:pt idx="1">
                  <c:v>0</c:v>
                </c:pt>
                <c:pt idx="2" formatCode="0_);[Red]\(0\)">
                  <c:v>0</c:v>
                </c:pt>
                <c:pt idx="3" formatCode="0_);[Red]\(0\)">
                  <c:v>0</c:v>
                </c:pt>
                <c:pt idx="4" formatCode="0_);[Red]\(0\)">
                  <c:v>0</c:v>
                </c:pt>
                <c:pt idx="5" formatCode="0_);[Red]\(0\)">
                  <c:v>0</c:v>
                </c:pt>
                <c:pt idx="6" formatCode="0_);[Red]\(0\)">
                  <c:v>0</c:v>
                </c:pt>
                <c:pt idx="7" formatCode="0_);[Red]\(0\)">
                  <c:v>0</c:v>
                </c:pt>
                <c:pt idx="8" formatCode="0_);[Red]\(0\)">
                  <c:v>0</c:v>
                </c:pt>
                <c:pt idx="9" formatCode="0_);[Red]\(0\)">
                  <c:v>0</c:v>
                </c:pt>
                <c:pt idx="10" formatCode="0_);[Red]\(0\)">
                  <c:v>0</c:v>
                </c:pt>
                <c:pt idx="11" formatCode="0_);[Red]\(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21-4647-9208-71CC60604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2AF-432A-BB46-6E45DA770A5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2AF-432A-BB46-6E45DA770A5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82AF-432A-BB46-6E45DA770A5E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82AF-432A-BB46-6E45DA770A5E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'21'!#REF!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82AF-432A-BB46-6E45DA770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'22'!$AB$6:$AB$17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'22'!$AD$6:$AD$17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E4-42C8-8740-3B0BCA02D41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'22'!$AB$6:$AB$17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'22'!$AE$6:$AE$17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E4-42C8-8740-3B0BCA02D410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'22'!$AB$6:$AB$17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'22'!$AF$6:$AF$17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E4-42C8-8740-3B0BCA02D410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'22'!$AB$6:$AB$17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'22'!$AG$6:$AG$17</c:f>
              <c:numCache>
                <c:formatCode>0.0_);[Red]\(0.0\)</c:formatCode>
                <c:ptCount val="12"/>
                <c:pt idx="0" formatCode="0_);[Red]\(0\)">
                  <c:v>0</c:v>
                </c:pt>
                <c:pt idx="1">
                  <c:v>0</c:v>
                </c:pt>
                <c:pt idx="2" formatCode="0_);[Red]\(0\)">
                  <c:v>0</c:v>
                </c:pt>
                <c:pt idx="3" formatCode="0_);[Red]\(0\)">
                  <c:v>0</c:v>
                </c:pt>
                <c:pt idx="4" formatCode="0_);[Red]\(0\)">
                  <c:v>0</c:v>
                </c:pt>
                <c:pt idx="5" formatCode="0_);[Red]\(0\)">
                  <c:v>0</c:v>
                </c:pt>
                <c:pt idx="6" formatCode="0_);[Red]\(0\)">
                  <c:v>0</c:v>
                </c:pt>
                <c:pt idx="7" formatCode="0_);[Red]\(0\)">
                  <c:v>0</c:v>
                </c:pt>
                <c:pt idx="8" formatCode="0_);[Red]\(0\)">
                  <c:v>0</c:v>
                </c:pt>
                <c:pt idx="9" formatCode="0_);[Red]\(0\)">
                  <c:v>0</c:v>
                </c:pt>
                <c:pt idx="10" formatCode="0_);[Red]\(0\)">
                  <c:v>0</c:v>
                </c:pt>
                <c:pt idx="11" formatCode="0_);[Red]\(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E4-42C8-8740-3B0BCA02D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'22'!#REF!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5B5-4D60-93D0-2D7F3809BA7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'22'!#REF!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5B5-4D60-93D0-2D7F3809BA7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'22'!#REF!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F5B5-4D60-93D0-2D7F3809BA73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'22'!#REF!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F5B5-4D60-93D0-2D7F3809B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'23'!$AB$6:$AB$17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'23'!$AD$6:$AD$17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6-457C-927B-D1662A72608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'23'!$AB$6:$AB$17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'23'!$AE$6:$AE$17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86-457C-927B-D1662A72608A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'23'!$AB$6:$AB$17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'23'!$AF$6:$AF$17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86-457C-927B-D1662A72608A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'23'!$AB$6:$AB$17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'23'!$AG$6:$AG$17</c:f>
              <c:numCache>
                <c:formatCode>0.0_);[Red]\(0.0\)</c:formatCode>
                <c:ptCount val="12"/>
                <c:pt idx="0" formatCode="0_);[Red]\(0\)">
                  <c:v>0</c:v>
                </c:pt>
                <c:pt idx="1">
                  <c:v>0</c:v>
                </c:pt>
                <c:pt idx="2" formatCode="0_);[Red]\(0\)">
                  <c:v>0</c:v>
                </c:pt>
                <c:pt idx="3" formatCode="0_);[Red]\(0\)">
                  <c:v>0</c:v>
                </c:pt>
                <c:pt idx="4" formatCode="0_);[Red]\(0\)">
                  <c:v>0</c:v>
                </c:pt>
                <c:pt idx="5" formatCode="0_);[Red]\(0\)">
                  <c:v>0</c:v>
                </c:pt>
                <c:pt idx="6" formatCode="0_);[Red]\(0\)">
                  <c:v>0</c:v>
                </c:pt>
                <c:pt idx="7" formatCode="0_);[Red]\(0\)">
                  <c:v>0</c:v>
                </c:pt>
                <c:pt idx="8" formatCode="0_);[Red]\(0\)">
                  <c:v>0</c:v>
                </c:pt>
                <c:pt idx="9" formatCode="0_);[Red]\(0\)">
                  <c:v>0</c:v>
                </c:pt>
                <c:pt idx="10" formatCode="0_);[Red]\(0\)">
                  <c:v>0</c:v>
                </c:pt>
                <c:pt idx="11" formatCode="0_);[Red]\(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86-457C-927B-D1662A726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5ED-4AAE-A173-BC6B53B525D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5ED-4AAE-A173-BC6B53B525D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5ED-4AAE-A173-BC6B53B525D9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5ED-4AAE-A173-BC6B53B525D9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'23'!#REF!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45ED-4AAE-A173-BC6B53B52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'24'!$AB$6:$AB$17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'24'!$AD$6:$AD$17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1-4E32-A9B1-F64987A644C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'24'!$AB$6:$AB$17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'24'!$AE$6:$AE$17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61-4E32-A9B1-F64987A644CB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'24'!$AB$6:$AB$17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'24'!$AF$6:$AF$17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61-4E32-A9B1-F64987A644CB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'24'!$AB$6:$AB$17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'24'!$AG$6:$AG$17</c:f>
              <c:numCache>
                <c:formatCode>0.0_);[Red]\(0.0\)</c:formatCode>
                <c:ptCount val="12"/>
                <c:pt idx="0" formatCode="0_);[Red]\(0\)">
                  <c:v>0</c:v>
                </c:pt>
                <c:pt idx="1">
                  <c:v>0</c:v>
                </c:pt>
                <c:pt idx="2" formatCode="0_);[Red]\(0\)">
                  <c:v>0</c:v>
                </c:pt>
                <c:pt idx="3" formatCode="0_);[Red]\(0\)">
                  <c:v>0</c:v>
                </c:pt>
                <c:pt idx="4" formatCode="0_);[Red]\(0\)">
                  <c:v>0</c:v>
                </c:pt>
                <c:pt idx="5" formatCode="0_);[Red]\(0\)">
                  <c:v>0</c:v>
                </c:pt>
                <c:pt idx="6" formatCode="0_);[Red]\(0\)">
                  <c:v>0</c:v>
                </c:pt>
                <c:pt idx="7" formatCode="0_);[Red]\(0\)">
                  <c:v>0</c:v>
                </c:pt>
                <c:pt idx="8" formatCode="0_);[Red]\(0\)">
                  <c:v>0</c:v>
                </c:pt>
                <c:pt idx="9" formatCode="0_);[Red]\(0\)">
                  <c:v>0</c:v>
                </c:pt>
                <c:pt idx="10" formatCode="0_);[Red]\(0\)">
                  <c:v>0</c:v>
                </c:pt>
                <c:pt idx="11" formatCode="0_);[Red]\(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61-4E32-A9B1-F64987A64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'24'!#REF!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AE1-4C7C-9BF0-8661E333A6F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'24'!#REF!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AE1-4C7C-9BF0-8661E333A6F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'24'!#REF!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AE1-4C7C-9BF0-8661E333A6F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'24'!#REF!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7AE1-4C7C-9BF0-8661E333A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'25'!$AB$6:$AB$17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'25'!$AD$6:$AD$17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F-4333-AC86-7FB27543316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'25'!$AE$6:$AE$17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0F-4333-AC86-7FB275433163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'25'!$AB$6:$AB$17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'25'!$AF$6:$AF$17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0F-4333-AC86-7FB275433163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'25'!$AG$6:$AG$17</c:f>
              <c:numCache>
                <c:formatCode>0.0_);[Red]\(0.0\)</c:formatCode>
                <c:ptCount val="12"/>
                <c:pt idx="0" formatCode="0_);[Red]\(0\)">
                  <c:v>0</c:v>
                </c:pt>
                <c:pt idx="1">
                  <c:v>0</c:v>
                </c:pt>
                <c:pt idx="2" formatCode="0_);[Red]\(0\)">
                  <c:v>0</c:v>
                </c:pt>
                <c:pt idx="3" formatCode="0_);[Red]\(0\)">
                  <c:v>0</c:v>
                </c:pt>
                <c:pt idx="4" formatCode="0_);[Red]\(0\)">
                  <c:v>0</c:v>
                </c:pt>
                <c:pt idx="5" formatCode="0_);[Red]\(0\)">
                  <c:v>0</c:v>
                </c:pt>
                <c:pt idx="6" formatCode="0_);[Red]\(0\)">
                  <c:v>0</c:v>
                </c:pt>
                <c:pt idx="7" formatCode="0_);[Red]\(0\)">
                  <c:v>0</c:v>
                </c:pt>
                <c:pt idx="8" formatCode="0_);[Red]\(0\)">
                  <c:v>0</c:v>
                </c:pt>
                <c:pt idx="9" formatCode="0_);[Red]\(0\)">
                  <c:v>0</c:v>
                </c:pt>
                <c:pt idx="10" formatCode="0_);[Red]\(0\)">
                  <c:v>0</c:v>
                </c:pt>
                <c:pt idx="11" formatCode="0_);[Red]\(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0F-4333-AC86-7FB275433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'25'!#REF!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B48-4B6A-984B-E87628CAFAC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'25'!#REF!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AB48-4B6A-984B-E87628CAFAC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'25'!#REF!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AB48-4B6A-984B-E87628CAFAC8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'25'!#REF!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AB48-4B6A-984B-E87628CAFAC8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'25'!#REF!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AB48-4B6A-984B-E87628CAF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'26'!$AB$6:$AB$17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'26'!$AD$6:$AD$17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F-466A-9DBE-63FB8F62503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'26'!$AB$6:$AB$17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'26'!$AE$6:$AE$17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2F-466A-9DBE-63FB8F625035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'26'!$AB$6:$AB$17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'26'!$AF$6:$AF$17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2F-466A-9DBE-63FB8F625035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'26'!$AB$6:$AB$17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'26'!$AG$6:$AG$17</c:f>
              <c:numCache>
                <c:formatCode>0.0_);[Red]\(0.0\)</c:formatCode>
                <c:ptCount val="12"/>
                <c:pt idx="0" formatCode="0_);[Red]\(0\)">
                  <c:v>0</c:v>
                </c:pt>
                <c:pt idx="1">
                  <c:v>0</c:v>
                </c:pt>
                <c:pt idx="2" formatCode="0_);[Red]\(0\)">
                  <c:v>0</c:v>
                </c:pt>
                <c:pt idx="3" formatCode="0_);[Red]\(0\)">
                  <c:v>0</c:v>
                </c:pt>
                <c:pt idx="4" formatCode="0_);[Red]\(0\)">
                  <c:v>0</c:v>
                </c:pt>
                <c:pt idx="5" formatCode="0_);[Red]\(0\)">
                  <c:v>0</c:v>
                </c:pt>
                <c:pt idx="6" formatCode="0_);[Red]\(0\)">
                  <c:v>0</c:v>
                </c:pt>
                <c:pt idx="7" formatCode="0_);[Red]\(0\)">
                  <c:v>0</c:v>
                </c:pt>
                <c:pt idx="8" formatCode="0_);[Red]\(0\)">
                  <c:v>0</c:v>
                </c:pt>
                <c:pt idx="9" formatCode="0_);[Red]\(0\)">
                  <c:v>0</c:v>
                </c:pt>
                <c:pt idx="10" formatCode="0_);[Red]\(0\)">
                  <c:v>0</c:v>
                </c:pt>
                <c:pt idx="11" formatCode="0_);[Red]\(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2F-466A-9DBE-63FB8F625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'26'!#REF!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B3E-4B2A-AF1F-9DC78B54C35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'26'!#REF!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BB3E-4B2A-AF1F-9DC78B54C35C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'26'!#REF!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BB3E-4B2A-AF1F-9DC78B54C35C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'26'!#REF!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BB3E-4B2A-AF1F-9DC78B54C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'27'!$AB$6:$AB$17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'27'!$AD$6:$AD$17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D-4ABD-8EE3-B27AECFF9D8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'27'!$AB$6:$AB$17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'27'!$AE$6:$AE$17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BD-4ABD-8EE3-B27AECFF9D8C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'27'!$AB$6:$AB$17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'27'!$AF$6:$AF$17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BD-4ABD-8EE3-B27AECFF9D8C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'27'!$AB$6:$AB$17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'27'!$AG$6:$AG$17</c:f>
              <c:numCache>
                <c:formatCode>0.0_);[Red]\(0.0\)</c:formatCode>
                <c:ptCount val="12"/>
                <c:pt idx="0" formatCode="0_);[Red]\(0\)">
                  <c:v>0</c:v>
                </c:pt>
                <c:pt idx="1">
                  <c:v>0</c:v>
                </c:pt>
                <c:pt idx="2" formatCode="0_);[Red]\(0\)">
                  <c:v>0</c:v>
                </c:pt>
                <c:pt idx="3" formatCode="0_);[Red]\(0\)">
                  <c:v>0</c:v>
                </c:pt>
                <c:pt idx="4" formatCode="0_);[Red]\(0\)">
                  <c:v>0</c:v>
                </c:pt>
                <c:pt idx="5" formatCode="0_);[Red]\(0\)">
                  <c:v>0</c:v>
                </c:pt>
                <c:pt idx="6" formatCode="0_);[Red]\(0\)">
                  <c:v>0</c:v>
                </c:pt>
                <c:pt idx="7" formatCode="0_);[Red]\(0\)">
                  <c:v>0</c:v>
                </c:pt>
                <c:pt idx="8" formatCode="0_);[Red]\(0\)">
                  <c:v>0</c:v>
                </c:pt>
                <c:pt idx="9" formatCode="0_);[Red]\(0\)">
                  <c:v>0</c:v>
                </c:pt>
                <c:pt idx="10" formatCode="0_);[Red]\(0\)">
                  <c:v>0</c:v>
                </c:pt>
                <c:pt idx="11" formatCode="0_);[Red]\(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BD-4ABD-8EE3-B27AECFF9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'27'!#REF!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0CB-41F8-9391-071279D37BA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'27'!#REF!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B0CB-41F8-9391-071279D37BA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'27'!#REF!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B0CB-41F8-9391-071279D37BA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'27'!#REF!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B0CB-41F8-9391-071279D37BA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'27'!#REF!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'27'!#REF!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B0CB-41F8-9391-071279D37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'28'!$AB$6:$AB$17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'28'!$AD$6:$AD$17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7-449E-834D-BE497D71AD5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'28'!$AB$6:$AB$17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'28'!$AE$6:$AE$17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A7-449E-834D-BE497D71AD5F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'28'!$AB$6:$AB$17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'28'!$AF$6:$AF$17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A7-449E-834D-BE497D71AD5F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'28'!$AB$6:$AB$17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'28'!$AG$6:$AG$17</c:f>
              <c:numCache>
                <c:formatCode>0.0_);[Red]\(0.0\)</c:formatCode>
                <c:ptCount val="12"/>
                <c:pt idx="0" formatCode="0_);[Red]\(0\)">
                  <c:v>0</c:v>
                </c:pt>
                <c:pt idx="1">
                  <c:v>0</c:v>
                </c:pt>
                <c:pt idx="2" formatCode="0_);[Red]\(0\)">
                  <c:v>0</c:v>
                </c:pt>
                <c:pt idx="3" formatCode="0_);[Red]\(0\)">
                  <c:v>0</c:v>
                </c:pt>
                <c:pt idx="4" formatCode="0_);[Red]\(0\)">
                  <c:v>0</c:v>
                </c:pt>
                <c:pt idx="5" formatCode="0_);[Red]\(0\)">
                  <c:v>0</c:v>
                </c:pt>
                <c:pt idx="6" formatCode="0_);[Red]\(0\)">
                  <c:v>0</c:v>
                </c:pt>
                <c:pt idx="7" formatCode="0_);[Red]\(0\)">
                  <c:v>0</c:v>
                </c:pt>
                <c:pt idx="8" formatCode="0_);[Red]\(0\)">
                  <c:v>0</c:v>
                </c:pt>
                <c:pt idx="9" formatCode="0_);[Red]\(0\)">
                  <c:v>0</c:v>
                </c:pt>
                <c:pt idx="10" formatCode="0_);[Red]\(0\)">
                  <c:v>0</c:v>
                </c:pt>
                <c:pt idx="11" formatCode="0_);[Red]\(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A7-449E-834D-BE497D71A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'28'!#REF!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DB2-4D36-8F68-414DC795F8B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'28'!#REF!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DB2-4D36-8F68-414DC795F8B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'28'!#REF!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6DB2-4D36-8F68-414DC795F8B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'28'!#REF!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6DB2-4D36-8F68-414DC795F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'29'!$AB$6:$AB$17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黃先祺</c:v>
                </c:pt>
                <c:pt idx="11">
                  <c:v>0</c:v>
                </c:pt>
              </c:strCache>
            </c:strRef>
          </c:cat>
          <c:val>
            <c:numRef>
              <c:f>'29'!$AD$6:$AD$17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3-4148-8944-4D1FEAED1AC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'29'!$AB$6:$AB$17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黃先祺</c:v>
                </c:pt>
                <c:pt idx="11">
                  <c:v>0</c:v>
                </c:pt>
              </c:strCache>
            </c:strRef>
          </c:cat>
          <c:val>
            <c:numRef>
              <c:f>'29'!$AE$6:$AE$17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83-4148-8944-4D1FEAED1AC8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'29'!$AB$6:$AB$17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黃先祺</c:v>
                </c:pt>
                <c:pt idx="11">
                  <c:v>0</c:v>
                </c:pt>
              </c:strCache>
            </c:strRef>
          </c:cat>
          <c:val>
            <c:numRef>
              <c:f>'29'!$AF$6:$AF$17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83-4148-8944-4D1FEAED1AC8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'29'!$AB$6:$AB$17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黃先祺</c:v>
                </c:pt>
                <c:pt idx="11">
                  <c:v>0</c:v>
                </c:pt>
              </c:strCache>
            </c:strRef>
          </c:cat>
          <c:val>
            <c:numRef>
              <c:f>'29'!$AG$6:$AG$17</c:f>
              <c:numCache>
                <c:formatCode>0.0_);[Red]\(0.0\)</c:formatCode>
                <c:ptCount val="12"/>
                <c:pt idx="0" formatCode="0_);[Red]\(0\)">
                  <c:v>0</c:v>
                </c:pt>
                <c:pt idx="1">
                  <c:v>0</c:v>
                </c:pt>
                <c:pt idx="2" formatCode="0_);[Red]\(0\)">
                  <c:v>0</c:v>
                </c:pt>
                <c:pt idx="3" formatCode="0_);[Red]\(0\)">
                  <c:v>0</c:v>
                </c:pt>
                <c:pt idx="4" formatCode="0_);[Red]\(0\)">
                  <c:v>0</c:v>
                </c:pt>
                <c:pt idx="5" formatCode="0_);[Red]\(0\)">
                  <c:v>0</c:v>
                </c:pt>
                <c:pt idx="6" formatCode="0_);[Red]\(0\)">
                  <c:v>0</c:v>
                </c:pt>
                <c:pt idx="7" formatCode="0_);[Red]\(0\)">
                  <c:v>0</c:v>
                </c:pt>
                <c:pt idx="8" formatCode="0_);[Red]\(0\)">
                  <c:v>0</c:v>
                </c:pt>
                <c:pt idx="9" formatCode="0_);[Red]\(0\)">
                  <c:v>0</c:v>
                </c:pt>
                <c:pt idx="10" formatCode="0_);[Red]\(0\)">
                  <c:v>0</c:v>
                </c:pt>
                <c:pt idx="11" formatCode="0_);[Red]\(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83-4148-8944-4D1FEAED1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'29'!#REF!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DC0-43EC-836C-B61F2D23CA7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'29'!#REF!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DC0-43EC-836C-B61F2D23CA7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'29'!#REF!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DC0-43EC-836C-B61F2D23CA7E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'29'!#REF!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3DC0-43EC-836C-B61F2D23CA7E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'29'!#REF!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'29'!#REF!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3DC0-43EC-836C-B61F2D23C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'30'!$AB$6:$AB$17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黃先祺</c:v>
                </c:pt>
                <c:pt idx="11">
                  <c:v>0</c:v>
                </c:pt>
              </c:strCache>
            </c:strRef>
          </c:cat>
          <c:val>
            <c:numRef>
              <c:f>'30'!$AD$6:$AD$17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58-468F-B9D1-10CDA5B707F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'30'!$AB$6:$AB$17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黃先祺</c:v>
                </c:pt>
                <c:pt idx="11">
                  <c:v>0</c:v>
                </c:pt>
              </c:strCache>
            </c:strRef>
          </c:cat>
          <c:val>
            <c:numRef>
              <c:f>'30'!$AE$6:$AE$17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58-468F-B9D1-10CDA5B707F8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'30'!$AB$6:$AB$17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黃先祺</c:v>
                </c:pt>
                <c:pt idx="11">
                  <c:v>0</c:v>
                </c:pt>
              </c:strCache>
            </c:strRef>
          </c:cat>
          <c:val>
            <c:numRef>
              <c:f>'30'!$AF$6:$AF$17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58-468F-B9D1-10CDA5B707F8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'30'!$AB$6:$AB$17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黃先祺</c:v>
                </c:pt>
                <c:pt idx="11">
                  <c:v>0</c:v>
                </c:pt>
              </c:strCache>
            </c:strRef>
          </c:cat>
          <c:val>
            <c:numRef>
              <c:f>'30'!$AG$6:$AG$17</c:f>
              <c:numCache>
                <c:formatCode>0.0_);[Red]\(0.0\)</c:formatCode>
                <c:ptCount val="12"/>
                <c:pt idx="0" formatCode="0_);[Red]\(0\)">
                  <c:v>0</c:v>
                </c:pt>
                <c:pt idx="1">
                  <c:v>0</c:v>
                </c:pt>
                <c:pt idx="2" formatCode="0_);[Red]\(0\)">
                  <c:v>0</c:v>
                </c:pt>
                <c:pt idx="3" formatCode="0_);[Red]\(0\)">
                  <c:v>0</c:v>
                </c:pt>
                <c:pt idx="4" formatCode="0_);[Red]\(0\)">
                  <c:v>0</c:v>
                </c:pt>
                <c:pt idx="5" formatCode="0_);[Red]\(0\)">
                  <c:v>0</c:v>
                </c:pt>
                <c:pt idx="6" formatCode="0_);[Red]\(0\)">
                  <c:v>0</c:v>
                </c:pt>
                <c:pt idx="7" formatCode="0_);[Red]\(0\)">
                  <c:v>0</c:v>
                </c:pt>
                <c:pt idx="8" formatCode="0_);[Red]\(0\)">
                  <c:v>0</c:v>
                </c:pt>
                <c:pt idx="9" formatCode="0_);[Red]\(0\)">
                  <c:v>0</c:v>
                </c:pt>
                <c:pt idx="10" formatCode="0_);[Red]\(0\)">
                  <c:v>0</c:v>
                </c:pt>
                <c:pt idx="11" formatCode="0_);[Red]\(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58-468F-B9D1-10CDA5B70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'30'!#REF!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'30'!#REF!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80D-4223-B247-5BD1A52F803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'30'!#REF!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'30'!#REF!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80D-4223-B247-5BD1A52F803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'30'!#REF!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'30'!#REF!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80D-4223-B247-5BD1A52F803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'30'!#REF!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'30'!#REF!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780D-4223-B247-5BD1A52F8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'31'!$AB$6:$AB$17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黃先祺</c:v>
                </c:pt>
                <c:pt idx="11">
                  <c:v>0</c:v>
                </c:pt>
              </c:strCache>
            </c:strRef>
          </c:cat>
          <c:val>
            <c:numRef>
              <c:f>'31'!$AD$6:$AD$17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65-4606-A73A-FB2F39833D0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'31'!$AB$6:$AB$17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黃先祺</c:v>
                </c:pt>
                <c:pt idx="11">
                  <c:v>0</c:v>
                </c:pt>
              </c:strCache>
            </c:strRef>
          </c:cat>
          <c:val>
            <c:numRef>
              <c:f>'31'!$AE$6:$AE$17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65-4606-A73A-FB2F39833D08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'31'!$AB$6:$AB$17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黃先祺</c:v>
                </c:pt>
                <c:pt idx="11">
                  <c:v>0</c:v>
                </c:pt>
              </c:strCache>
            </c:strRef>
          </c:cat>
          <c:val>
            <c:numRef>
              <c:f>'31'!$AF$6:$AF$17</c:f>
              <c:numCache>
                <c:formatCode>0.0_);[Red]\(0.0\)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65-4606-A73A-FB2F39833D08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'31'!$AB$6:$AB$17</c:f>
              <c:strCache>
                <c:ptCount val="12"/>
                <c:pt idx="0">
                  <c:v>張意昕</c:v>
                </c:pt>
                <c:pt idx="1">
                  <c:v>楊衡欣</c:v>
                </c:pt>
                <c:pt idx="2">
                  <c:v>宋文馨</c:v>
                </c:pt>
                <c:pt idx="3">
                  <c:v>程楚茜</c:v>
                </c:pt>
                <c:pt idx="4">
                  <c:v>林郁珮</c:v>
                </c:pt>
                <c:pt idx="5">
                  <c:v>0</c:v>
                </c:pt>
                <c:pt idx="6">
                  <c:v>0</c:v>
                </c:pt>
                <c:pt idx="7">
                  <c:v>黃先祺</c:v>
                </c:pt>
                <c:pt idx="8">
                  <c:v>0</c:v>
                </c:pt>
                <c:pt idx="9">
                  <c:v>0</c:v>
                </c:pt>
                <c:pt idx="10">
                  <c:v>黃先祺</c:v>
                </c:pt>
                <c:pt idx="11">
                  <c:v>0</c:v>
                </c:pt>
              </c:strCache>
            </c:strRef>
          </c:cat>
          <c:val>
            <c:numRef>
              <c:f>'31'!$AG$6:$AG$17</c:f>
              <c:numCache>
                <c:formatCode>0.0_);[Red]\(0.0\)</c:formatCode>
                <c:ptCount val="12"/>
                <c:pt idx="0" formatCode="0_);[Red]\(0\)">
                  <c:v>0</c:v>
                </c:pt>
                <c:pt idx="1">
                  <c:v>0</c:v>
                </c:pt>
                <c:pt idx="2" formatCode="0_);[Red]\(0\)">
                  <c:v>0</c:v>
                </c:pt>
                <c:pt idx="3" formatCode="0_);[Red]\(0\)">
                  <c:v>0</c:v>
                </c:pt>
                <c:pt idx="4" formatCode="0_);[Red]\(0\)">
                  <c:v>0</c:v>
                </c:pt>
                <c:pt idx="5" formatCode="0_);[Red]\(0\)">
                  <c:v>0</c:v>
                </c:pt>
                <c:pt idx="6" formatCode="0_);[Red]\(0\)">
                  <c:v>0</c:v>
                </c:pt>
                <c:pt idx="7" formatCode="0_);[Red]\(0\)">
                  <c:v>0</c:v>
                </c:pt>
                <c:pt idx="8" formatCode="0_);[Red]\(0\)">
                  <c:v>0</c:v>
                </c:pt>
                <c:pt idx="9" formatCode="0_);[Red]\(0\)">
                  <c:v>0</c:v>
                </c:pt>
                <c:pt idx="10" formatCode="0_);[Red]\(0\)">
                  <c:v>0</c:v>
                </c:pt>
                <c:pt idx="11" formatCode="0_);[Red]\(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65-4606-A73A-FB2F39833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'31'!#REF!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F15-49EE-AA0F-C65DF9762E6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'31'!#REF!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F15-49EE-AA0F-C65DF9762E6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'31'!#REF!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6F15-49EE-AA0F-C65DF9762E61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'31'!#REF!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6F15-49EE-AA0F-C65DF9762E61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'31'!#REF!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'31'!#REF!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6F15-49EE-AA0F-C65DF9762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438623"/>
        <c:axId val="287436959"/>
      </c:barChart>
      <c:catAx>
        <c:axId val="2874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6959"/>
        <c:crosses val="autoZero"/>
        <c:auto val="1"/>
        <c:lblAlgn val="ctr"/>
        <c:lblOffset val="100"/>
        <c:noMultiLvlLbl val="0"/>
      </c:catAx>
      <c:valAx>
        <c:axId val="287436959"/>
        <c:scaling>
          <c:orientation val="minMax"/>
          <c:max val="24"/>
          <c:min val="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743862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354330</xdr:colOff>
      <xdr:row>4</xdr:row>
      <xdr:rowOff>0</xdr:rowOff>
    </xdr:from>
    <xdr:to>
      <xdr:col>25</xdr:col>
      <xdr:colOff>327660</xdr:colOff>
      <xdr:row>18</xdr:row>
      <xdr:rowOff>88900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EABC279-F008-4982-BE86-832098B0E1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501650</xdr:colOff>
      <xdr:row>33</xdr:row>
      <xdr:rowOff>20320</xdr:rowOff>
    </xdr:from>
    <xdr:to>
      <xdr:col>27</xdr:col>
      <xdr:colOff>280670</xdr:colOff>
      <xdr:row>37</xdr:row>
      <xdr:rowOff>146050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CFBB84EA-BBCD-4563-909A-09079C4B57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</xdr:colOff>
      <xdr:row>4</xdr:row>
      <xdr:rowOff>22860</xdr:rowOff>
    </xdr:from>
    <xdr:to>
      <xdr:col>25</xdr:col>
      <xdr:colOff>251460</xdr:colOff>
      <xdr:row>17</xdr:row>
      <xdr:rowOff>30480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E8F47E9-D14A-4548-A60E-A42810802E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22860</xdr:colOff>
      <xdr:row>17</xdr:row>
      <xdr:rowOff>22860</xdr:rowOff>
    </xdr:from>
    <xdr:to>
      <xdr:col>25</xdr:col>
      <xdr:colOff>259080</xdr:colOff>
      <xdr:row>29</xdr:row>
      <xdr:rowOff>68580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C95B78F-C371-4901-A159-691DE46D7D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49530</xdr:colOff>
      <xdr:row>4</xdr:row>
      <xdr:rowOff>0</xdr:rowOff>
    </xdr:from>
    <xdr:to>
      <xdr:col>25</xdr:col>
      <xdr:colOff>289560</xdr:colOff>
      <xdr:row>18</xdr:row>
      <xdr:rowOff>15240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2D5D44C-493A-4C80-A572-7CECB2D3D5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53340</xdr:colOff>
      <xdr:row>18</xdr:row>
      <xdr:rowOff>7620</xdr:rowOff>
    </xdr:from>
    <xdr:to>
      <xdr:col>25</xdr:col>
      <xdr:colOff>289560</xdr:colOff>
      <xdr:row>30</xdr:row>
      <xdr:rowOff>182880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780955D-EA97-4B47-AF96-7D488D488C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80010</xdr:colOff>
      <xdr:row>4</xdr:row>
      <xdr:rowOff>0</xdr:rowOff>
    </xdr:from>
    <xdr:to>
      <xdr:col>25</xdr:col>
      <xdr:colOff>266700</xdr:colOff>
      <xdr:row>17</xdr:row>
      <xdr:rowOff>182880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3AB620A-AC0F-4899-8619-AF547E0EC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91440</xdr:colOff>
      <xdr:row>18</xdr:row>
      <xdr:rowOff>7620</xdr:rowOff>
    </xdr:from>
    <xdr:to>
      <xdr:col>25</xdr:col>
      <xdr:colOff>259080</xdr:colOff>
      <xdr:row>31</xdr:row>
      <xdr:rowOff>15240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0847C41-406D-4AFD-9777-55FEC96CC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80010</xdr:colOff>
      <xdr:row>4</xdr:row>
      <xdr:rowOff>7620</xdr:rowOff>
    </xdr:from>
    <xdr:to>
      <xdr:col>25</xdr:col>
      <xdr:colOff>297180</xdr:colOff>
      <xdr:row>17</xdr:row>
      <xdr:rowOff>167640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B5F0A11-752B-49B7-8E8B-E672E88FD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91440</xdr:colOff>
      <xdr:row>17</xdr:row>
      <xdr:rowOff>175260</xdr:rowOff>
    </xdr:from>
    <xdr:to>
      <xdr:col>25</xdr:col>
      <xdr:colOff>297180</xdr:colOff>
      <xdr:row>31</xdr:row>
      <xdr:rowOff>22860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E3C95FF-70EF-46CE-A0C4-994D84BF9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95250</xdr:colOff>
      <xdr:row>4</xdr:row>
      <xdr:rowOff>0</xdr:rowOff>
    </xdr:from>
    <xdr:to>
      <xdr:col>25</xdr:col>
      <xdr:colOff>304800</xdr:colOff>
      <xdr:row>18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C3BC96E-DCFA-4A54-8CB0-B0484BA44F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106680</xdr:colOff>
      <xdr:row>18</xdr:row>
      <xdr:rowOff>7620</xdr:rowOff>
    </xdr:from>
    <xdr:to>
      <xdr:col>25</xdr:col>
      <xdr:colOff>304800</xdr:colOff>
      <xdr:row>31</xdr:row>
      <xdr:rowOff>7620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BB51FD6-CFB9-4F65-8FA5-5AE302930C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87630</xdr:colOff>
      <xdr:row>4</xdr:row>
      <xdr:rowOff>0</xdr:rowOff>
    </xdr:from>
    <xdr:to>
      <xdr:col>25</xdr:col>
      <xdr:colOff>281940</xdr:colOff>
      <xdr:row>18</xdr:row>
      <xdr:rowOff>7620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CD97642-57F2-490A-BD62-9E3C975D2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91440</xdr:colOff>
      <xdr:row>18</xdr:row>
      <xdr:rowOff>15240</xdr:rowOff>
    </xdr:from>
    <xdr:to>
      <xdr:col>25</xdr:col>
      <xdr:colOff>259080</xdr:colOff>
      <xdr:row>31</xdr:row>
      <xdr:rowOff>7620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4EB9947A-4ABC-4DA6-A0A4-C411EFEC0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95250</xdr:colOff>
      <xdr:row>4</xdr:row>
      <xdr:rowOff>7620</xdr:rowOff>
    </xdr:from>
    <xdr:to>
      <xdr:col>25</xdr:col>
      <xdr:colOff>312420</xdr:colOff>
      <xdr:row>18</xdr:row>
      <xdr:rowOff>15240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63954F6-43D4-4C0B-B75C-A143836737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83820</xdr:colOff>
      <xdr:row>18</xdr:row>
      <xdr:rowOff>0</xdr:rowOff>
    </xdr:from>
    <xdr:to>
      <xdr:col>25</xdr:col>
      <xdr:colOff>312420</xdr:colOff>
      <xdr:row>30</xdr:row>
      <xdr:rowOff>182880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A84D6F5C-0746-414E-913E-75D89E3A71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102870</xdr:colOff>
      <xdr:row>3</xdr:row>
      <xdr:rowOff>175260</xdr:rowOff>
    </xdr:from>
    <xdr:to>
      <xdr:col>25</xdr:col>
      <xdr:colOff>281940</xdr:colOff>
      <xdr:row>17</xdr:row>
      <xdr:rowOff>182880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0CC1FF6-C5A8-4007-BC4C-023F73D24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121920</xdr:colOff>
      <xdr:row>18</xdr:row>
      <xdr:rowOff>0</xdr:rowOff>
    </xdr:from>
    <xdr:to>
      <xdr:col>25</xdr:col>
      <xdr:colOff>297180</xdr:colOff>
      <xdr:row>31</xdr:row>
      <xdr:rowOff>15240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EE3BB1C-C10B-4C26-BDB3-27850D275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72390</xdr:colOff>
      <xdr:row>4</xdr:row>
      <xdr:rowOff>0</xdr:rowOff>
    </xdr:from>
    <xdr:to>
      <xdr:col>25</xdr:col>
      <xdr:colOff>259080</xdr:colOff>
      <xdr:row>17</xdr:row>
      <xdr:rowOff>182880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47D61B1-896E-47D6-A919-5AC0C477A1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91440</xdr:colOff>
      <xdr:row>18</xdr:row>
      <xdr:rowOff>0</xdr:rowOff>
    </xdr:from>
    <xdr:to>
      <xdr:col>25</xdr:col>
      <xdr:colOff>251460</xdr:colOff>
      <xdr:row>30</xdr:row>
      <xdr:rowOff>182880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D6D8705-554A-45BD-9AB3-0618C509B7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</xdr:colOff>
      <xdr:row>3</xdr:row>
      <xdr:rowOff>182880</xdr:rowOff>
    </xdr:from>
    <xdr:to>
      <xdr:col>25</xdr:col>
      <xdr:colOff>274320</xdr:colOff>
      <xdr:row>18</xdr:row>
      <xdr:rowOff>7620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02D2243-0C94-42E9-8D02-602BEA8C8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30480</xdr:colOff>
      <xdr:row>18</xdr:row>
      <xdr:rowOff>15240</xdr:rowOff>
    </xdr:from>
    <xdr:to>
      <xdr:col>25</xdr:col>
      <xdr:colOff>266700</xdr:colOff>
      <xdr:row>30</xdr:row>
      <xdr:rowOff>182880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299DFAFE-F979-453C-9761-0D42C9218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95250</xdr:colOff>
      <xdr:row>3</xdr:row>
      <xdr:rowOff>175260</xdr:rowOff>
    </xdr:from>
    <xdr:to>
      <xdr:col>25</xdr:col>
      <xdr:colOff>297180</xdr:colOff>
      <xdr:row>18</xdr:row>
      <xdr:rowOff>22860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34A868D-4185-4264-A375-AE15D68BAB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106680</xdr:colOff>
      <xdr:row>17</xdr:row>
      <xdr:rowOff>182880</xdr:rowOff>
    </xdr:from>
    <xdr:to>
      <xdr:col>25</xdr:col>
      <xdr:colOff>304800</xdr:colOff>
      <xdr:row>31</xdr:row>
      <xdr:rowOff>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C746789-0879-4B09-A6C9-93D84A4340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</xdr:colOff>
      <xdr:row>4</xdr:row>
      <xdr:rowOff>15240</xdr:rowOff>
    </xdr:from>
    <xdr:to>
      <xdr:col>25</xdr:col>
      <xdr:colOff>266700</xdr:colOff>
      <xdr:row>18</xdr:row>
      <xdr:rowOff>30480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660371B-6BD4-48AA-9293-B27B7D6D7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30480</xdr:colOff>
      <xdr:row>18</xdr:row>
      <xdr:rowOff>30480</xdr:rowOff>
    </xdr:from>
    <xdr:to>
      <xdr:col>25</xdr:col>
      <xdr:colOff>259080</xdr:colOff>
      <xdr:row>31</xdr:row>
      <xdr:rowOff>38100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887F0E3-DB87-45DF-8625-0C886B41E9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87630</xdr:colOff>
      <xdr:row>4</xdr:row>
      <xdr:rowOff>0</xdr:rowOff>
    </xdr:from>
    <xdr:to>
      <xdr:col>25</xdr:col>
      <xdr:colOff>274320</xdr:colOff>
      <xdr:row>17</xdr:row>
      <xdr:rowOff>182880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B3643CE-CCBF-4E53-B8C3-74F480932E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106680</xdr:colOff>
      <xdr:row>17</xdr:row>
      <xdr:rowOff>182880</xdr:rowOff>
    </xdr:from>
    <xdr:to>
      <xdr:col>25</xdr:col>
      <xdr:colOff>274320</xdr:colOff>
      <xdr:row>31</xdr:row>
      <xdr:rowOff>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C968522-031D-4B00-BD11-AA195878DB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64770</xdr:colOff>
      <xdr:row>3</xdr:row>
      <xdr:rowOff>167640</xdr:rowOff>
    </xdr:from>
    <xdr:to>
      <xdr:col>25</xdr:col>
      <xdr:colOff>304800</xdr:colOff>
      <xdr:row>17</xdr:row>
      <xdr:rowOff>182880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CD69B34-8B78-4C28-A541-865844D72B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76200</xdr:colOff>
      <xdr:row>18</xdr:row>
      <xdr:rowOff>30480</xdr:rowOff>
    </xdr:from>
    <xdr:to>
      <xdr:col>25</xdr:col>
      <xdr:colOff>312420</xdr:colOff>
      <xdr:row>31</xdr:row>
      <xdr:rowOff>7620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33A92059-BEFD-4DD6-BF5C-4ED431CE7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102870</xdr:colOff>
      <xdr:row>4</xdr:row>
      <xdr:rowOff>0</xdr:rowOff>
    </xdr:from>
    <xdr:to>
      <xdr:col>25</xdr:col>
      <xdr:colOff>304800</xdr:colOff>
      <xdr:row>18</xdr:row>
      <xdr:rowOff>7620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E052061-DB89-47E1-BA0A-9BFFA75E9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106680</xdr:colOff>
      <xdr:row>17</xdr:row>
      <xdr:rowOff>182880</xdr:rowOff>
    </xdr:from>
    <xdr:to>
      <xdr:col>25</xdr:col>
      <xdr:colOff>297180</xdr:colOff>
      <xdr:row>31</xdr:row>
      <xdr:rowOff>15240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59C67B8-9639-428E-95C1-98676F44F5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125730</xdr:colOff>
      <xdr:row>4</xdr:row>
      <xdr:rowOff>0</xdr:rowOff>
    </xdr:from>
    <xdr:to>
      <xdr:col>25</xdr:col>
      <xdr:colOff>281940</xdr:colOff>
      <xdr:row>17</xdr:row>
      <xdr:rowOff>175260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62BB5DE-2909-49F3-AA89-FFF324CFB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121920</xdr:colOff>
      <xdr:row>18</xdr:row>
      <xdr:rowOff>15240</xdr:rowOff>
    </xdr:from>
    <xdr:to>
      <xdr:col>25</xdr:col>
      <xdr:colOff>289560</xdr:colOff>
      <xdr:row>30</xdr:row>
      <xdr:rowOff>175260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28765F05-C7DA-4037-86B3-935A8C6076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125730</xdr:colOff>
      <xdr:row>4</xdr:row>
      <xdr:rowOff>15240</xdr:rowOff>
    </xdr:from>
    <xdr:to>
      <xdr:col>25</xdr:col>
      <xdr:colOff>304800</xdr:colOff>
      <xdr:row>18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FF1926C-0BA5-4066-9EF5-1E4E6CE77C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114300</xdr:colOff>
      <xdr:row>18</xdr:row>
      <xdr:rowOff>0</xdr:rowOff>
    </xdr:from>
    <xdr:to>
      <xdr:col>25</xdr:col>
      <xdr:colOff>304800</xdr:colOff>
      <xdr:row>31</xdr:row>
      <xdr:rowOff>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2E7F3B3-774C-47DF-8221-A09B2648C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110490</xdr:colOff>
      <xdr:row>4</xdr:row>
      <xdr:rowOff>15240</xdr:rowOff>
    </xdr:from>
    <xdr:to>
      <xdr:col>25</xdr:col>
      <xdr:colOff>274320</xdr:colOff>
      <xdr:row>18</xdr:row>
      <xdr:rowOff>7620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7AD149B-A5A8-469E-9314-AD84A20E4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121920</xdr:colOff>
      <xdr:row>18</xdr:row>
      <xdr:rowOff>15240</xdr:rowOff>
    </xdr:from>
    <xdr:to>
      <xdr:col>25</xdr:col>
      <xdr:colOff>281940</xdr:colOff>
      <xdr:row>31</xdr:row>
      <xdr:rowOff>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DC535D2-7AB0-4FE0-99F9-AA2A6A2AE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4</xdr:row>
      <xdr:rowOff>7620</xdr:rowOff>
    </xdr:from>
    <xdr:to>
      <xdr:col>25</xdr:col>
      <xdr:colOff>281940</xdr:colOff>
      <xdr:row>17</xdr:row>
      <xdr:rowOff>160020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F115CAF-52E9-4406-9BD3-C1C0460E5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106680</xdr:colOff>
      <xdr:row>17</xdr:row>
      <xdr:rowOff>182880</xdr:rowOff>
    </xdr:from>
    <xdr:to>
      <xdr:col>25</xdr:col>
      <xdr:colOff>289560</xdr:colOff>
      <xdr:row>31</xdr:row>
      <xdr:rowOff>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B8F1C2E2-1339-4728-A025-4065C2837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125730</xdr:colOff>
      <xdr:row>4</xdr:row>
      <xdr:rowOff>7620</xdr:rowOff>
    </xdr:from>
    <xdr:to>
      <xdr:col>25</xdr:col>
      <xdr:colOff>289560</xdr:colOff>
      <xdr:row>17</xdr:row>
      <xdr:rowOff>160020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DA3FCF0-47E2-444A-9C2D-AE9187FD3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121920</xdr:colOff>
      <xdr:row>17</xdr:row>
      <xdr:rowOff>182880</xdr:rowOff>
    </xdr:from>
    <xdr:to>
      <xdr:col>25</xdr:col>
      <xdr:colOff>274320</xdr:colOff>
      <xdr:row>31</xdr:row>
      <xdr:rowOff>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465A2810-5563-4F06-AFCA-7480393145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125730</xdr:colOff>
      <xdr:row>4</xdr:row>
      <xdr:rowOff>7620</xdr:rowOff>
    </xdr:from>
    <xdr:to>
      <xdr:col>25</xdr:col>
      <xdr:colOff>281940</xdr:colOff>
      <xdr:row>18</xdr:row>
      <xdr:rowOff>30480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56CC629-AFE5-4AA6-8E74-78422B4890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106680</xdr:colOff>
      <xdr:row>18</xdr:row>
      <xdr:rowOff>0</xdr:rowOff>
    </xdr:from>
    <xdr:to>
      <xdr:col>25</xdr:col>
      <xdr:colOff>289560</xdr:colOff>
      <xdr:row>30</xdr:row>
      <xdr:rowOff>182880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08E1F35-2A9A-4E8F-94DA-6AF8F9678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4</xdr:row>
      <xdr:rowOff>15240</xdr:rowOff>
    </xdr:from>
    <xdr:to>
      <xdr:col>25</xdr:col>
      <xdr:colOff>312420</xdr:colOff>
      <xdr:row>17</xdr:row>
      <xdr:rowOff>175260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0CDD1C2-C9DE-4F18-BB25-120C85FCBE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114300</xdr:colOff>
      <xdr:row>17</xdr:row>
      <xdr:rowOff>182880</xdr:rowOff>
    </xdr:from>
    <xdr:to>
      <xdr:col>25</xdr:col>
      <xdr:colOff>297180</xdr:colOff>
      <xdr:row>30</xdr:row>
      <xdr:rowOff>175260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E367170-483F-42A6-8023-539F1BCB8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3</xdr:row>
      <xdr:rowOff>182880</xdr:rowOff>
    </xdr:from>
    <xdr:to>
      <xdr:col>25</xdr:col>
      <xdr:colOff>274320</xdr:colOff>
      <xdr:row>17</xdr:row>
      <xdr:rowOff>182880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3B1F672-3739-445F-B072-6E99778C12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114300</xdr:colOff>
      <xdr:row>17</xdr:row>
      <xdr:rowOff>182880</xdr:rowOff>
    </xdr:from>
    <xdr:to>
      <xdr:col>25</xdr:col>
      <xdr:colOff>266700</xdr:colOff>
      <xdr:row>30</xdr:row>
      <xdr:rowOff>182880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264C736-5362-4DEB-9FE5-8C25F2448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140970</xdr:colOff>
      <xdr:row>3</xdr:row>
      <xdr:rowOff>160020</xdr:rowOff>
    </xdr:from>
    <xdr:to>
      <xdr:col>25</xdr:col>
      <xdr:colOff>304800</xdr:colOff>
      <xdr:row>17</xdr:row>
      <xdr:rowOff>175260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A264102-90D1-44D7-9AEC-0805432A7F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129540</xdr:colOff>
      <xdr:row>17</xdr:row>
      <xdr:rowOff>175260</xdr:rowOff>
    </xdr:from>
    <xdr:to>
      <xdr:col>25</xdr:col>
      <xdr:colOff>297180</xdr:colOff>
      <xdr:row>31</xdr:row>
      <xdr:rowOff>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56C45B7-48E7-4B9E-A8DA-B52BB9C32C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125730</xdr:colOff>
      <xdr:row>3</xdr:row>
      <xdr:rowOff>175260</xdr:rowOff>
    </xdr:from>
    <xdr:to>
      <xdr:col>25</xdr:col>
      <xdr:colOff>289560</xdr:colOff>
      <xdr:row>17</xdr:row>
      <xdr:rowOff>182880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C1685E4-00D1-409E-B8DE-9189ABA13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121920</xdr:colOff>
      <xdr:row>17</xdr:row>
      <xdr:rowOff>175260</xdr:rowOff>
    </xdr:from>
    <xdr:to>
      <xdr:col>25</xdr:col>
      <xdr:colOff>289560</xdr:colOff>
      <xdr:row>30</xdr:row>
      <xdr:rowOff>182880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3FD592C-FDC6-4350-9F1A-9A6371D04E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118110</xdr:colOff>
      <xdr:row>4</xdr:row>
      <xdr:rowOff>0</xdr:rowOff>
    </xdr:from>
    <xdr:to>
      <xdr:col>25</xdr:col>
      <xdr:colOff>274320</xdr:colOff>
      <xdr:row>17</xdr:row>
      <xdr:rowOff>182880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4B021F8-19A5-4EA5-92F3-E8D6D7285F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121920</xdr:colOff>
      <xdr:row>18</xdr:row>
      <xdr:rowOff>7620</xdr:rowOff>
    </xdr:from>
    <xdr:to>
      <xdr:col>25</xdr:col>
      <xdr:colOff>266700</xdr:colOff>
      <xdr:row>31</xdr:row>
      <xdr:rowOff>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816381C6-E6B1-40BD-9576-E7B002BF0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95250</xdr:colOff>
      <xdr:row>4</xdr:row>
      <xdr:rowOff>45720</xdr:rowOff>
    </xdr:from>
    <xdr:to>
      <xdr:col>25</xdr:col>
      <xdr:colOff>236220</xdr:colOff>
      <xdr:row>18</xdr:row>
      <xdr:rowOff>22860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D4E3D71-5B21-4D5B-86D4-BE9DE587A7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60960</xdr:colOff>
      <xdr:row>18</xdr:row>
      <xdr:rowOff>22860</xdr:rowOff>
    </xdr:from>
    <xdr:to>
      <xdr:col>25</xdr:col>
      <xdr:colOff>220980</xdr:colOff>
      <xdr:row>31</xdr:row>
      <xdr:rowOff>22860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3A9840F-A5CF-462D-9005-60D3B37A2C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140970</xdr:colOff>
      <xdr:row>4</xdr:row>
      <xdr:rowOff>7620</xdr:rowOff>
    </xdr:from>
    <xdr:to>
      <xdr:col>25</xdr:col>
      <xdr:colOff>274320</xdr:colOff>
      <xdr:row>18</xdr:row>
      <xdr:rowOff>15240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524E47C-E324-4DB9-AFA4-EAA1A915F5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114300</xdr:colOff>
      <xdr:row>18</xdr:row>
      <xdr:rowOff>15240</xdr:rowOff>
    </xdr:from>
    <xdr:to>
      <xdr:col>25</xdr:col>
      <xdr:colOff>266700</xdr:colOff>
      <xdr:row>30</xdr:row>
      <xdr:rowOff>182880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44739370-D32F-421A-8E41-7291E8BD7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4</xdr:row>
      <xdr:rowOff>15240</xdr:rowOff>
    </xdr:from>
    <xdr:to>
      <xdr:col>25</xdr:col>
      <xdr:colOff>274320</xdr:colOff>
      <xdr:row>18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3337B5F-6053-43DB-BA0F-16CC44DFD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106680</xdr:colOff>
      <xdr:row>18</xdr:row>
      <xdr:rowOff>7620</xdr:rowOff>
    </xdr:from>
    <xdr:to>
      <xdr:col>25</xdr:col>
      <xdr:colOff>281940</xdr:colOff>
      <xdr:row>30</xdr:row>
      <xdr:rowOff>182880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5EEFDDC-9D25-41C6-B008-8FBA918E73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140970</xdr:colOff>
      <xdr:row>3</xdr:row>
      <xdr:rowOff>175260</xdr:rowOff>
    </xdr:from>
    <xdr:to>
      <xdr:col>25</xdr:col>
      <xdr:colOff>281940</xdr:colOff>
      <xdr:row>17</xdr:row>
      <xdr:rowOff>175260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F047636-7071-4FFA-97E9-1661FA03E8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114300</xdr:colOff>
      <xdr:row>18</xdr:row>
      <xdr:rowOff>0</xdr:rowOff>
    </xdr:from>
    <xdr:to>
      <xdr:col>25</xdr:col>
      <xdr:colOff>266700</xdr:colOff>
      <xdr:row>31</xdr:row>
      <xdr:rowOff>22860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D9E7FDB-48CA-481C-AD00-B5FDC850E2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E18BD-EBD3-4608-BC87-5B9422DA9171}">
  <dimension ref="A1:CD613"/>
  <sheetViews>
    <sheetView tabSelected="1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C6" sqref="C6:C8"/>
    </sheetView>
  </sheetViews>
  <sheetFormatPr defaultRowHeight="14.5"/>
  <cols>
    <col min="1" max="2" width="10.59765625" customWidth="1"/>
    <col min="3" max="65" width="6.59765625" customWidth="1"/>
  </cols>
  <sheetData>
    <row r="1" spans="1:82" ht="21" thickBot="1">
      <c r="A1" s="119" t="s">
        <v>105</v>
      </c>
      <c r="B1" s="120"/>
      <c r="C1" s="121"/>
      <c r="D1" s="122" t="s">
        <v>76</v>
      </c>
      <c r="E1" s="122"/>
      <c r="F1" s="122"/>
      <c r="G1" s="122"/>
      <c r="H1" s="29">
        <v>9</v>
      </c>
      <c r="I1" s="28" t="s">
        <v>77</v>
      </c>
      <c r="J1" s="29">
        <v>5</v>
      </c>
      <c r="K1" s="30" t="s">
        <v>7</v>
      </c>
      <c r="L1" s="29">
        <v>4</v>
      </c>
      <c r="M1" s="30" t="s">
        <v>8</v>
      </c>
      <c r="N1" s="29"/>
      <c r="O1" s="22" t="s">
        <v>78</v>
      </c>
      <c r="P1" s="31"/>
      <c r="Q1" s="123" t="s">
        <v>2</v>
      </c>
      <c r="R1" s="124"/>
      <c r="S1" s="32"/>
      <c r="T1" s="123" t="s">
        <v>79</v>
      </c>
      <c r="U1" s="125"/>
      <c r="V1" s="33"/>
      <c r="W1" s="34"/>
      <c r="X1" s="123" t="s">
        <v>3</v>
      </c>
      <c r="Y1" s="124"/>
      <c r="Z1" s="35"/>
      <c r="AA1" s="123" t="s">
        <v>4</v>
      </c>
      <c r="AB1" s="124"/>
      <c r="AC1" s="36"/>
      <c r="AD1" s="37" t="s">
        <v>5</v>
      </c>
      <c r="AE1" s="38"/>
      <c r="AF1" s="33"/>
      <c r="AG1" s="39"/>
      <c r="AH1" s="123" t="s">
        <v>6</v>
      </c>
      <c r="AI1" s="124"/>
      <c r="AJ1" s="40"/>
      <c r="AK1" s="37" t="s">
        <v>80</v>
      </c>
      <c r="AL1" s="33"/>
      <c r="AM1" s="41"/>
      <c r="AN1" s="37" t="s">
        <v>81</v>
      </c>
      <c r="AO1" s="33"/>
      <c r="AP1" s="42"/>
      <c r="AQ1" s="37" t="s">
        <v>82</v>
      </c>
      <c r="AR1" s="33"/>
      <c r="AS1" s="43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44"/>
      <c r="BM1" s="45"/>
      <c r="BN1" s="46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</row>
    <row r="2" spans="1:82" ht="26.4" customHeight="1" thickBot="1">
      <c r="A2" s="126" t="s">
        <v>83</v>
      </c>
      <c r="B2" s="127"/>
      <c r="C2" s="128"/>
      <c r="D2" s="116"/>
      <c r="E2" s="117"/>
      <c r="F2" s="116"/>
      <c r="G2" s="117"/>
      <c r="H2" s="129"/>
      <c r="I2" s="117"/>
      <c r="J2" s="129"/>
      <c r="K2" s="117"/>
      <c r="L2" s="129"/>
      <c r="M2" s="117"/>
      <c r="N2" s="129"/>
      <c r="O2" s="117"/>
      <c r="P2" s="116"/>
      <c r="Q2" s="117"/>
      <c r="R2" s="116"/>
      <c r="S2" s="117"/>
      <c r="T2" s="116"/>
      <c r="U2" s="117"/>
      <c r="V2" s="116"/>
      <c r="W2" s="117"/>
      <c r="X2" s="116"/>
      <c r="Y2" s="117"/>
      <c r="Z2" s="116"/>
      <c r="AA2" s="117"/>
      <c r="AB2" s="116"/>
      <c r="AC2" s="117"/>
      <c r="AD2" s="116"/>
      <c r="AE2" s="117"/>
      <c r="AF2" s="116"/>
      <c r="AG2" s="117"/>
      <c r="AH2" s="116"/>
      <c r="AI2" s="117"/>
      <c r="AJ2" s="116"/>
      <c r="AK2" s="117"/>
      <c r="AL2" s="118"/>
      <c r="AM2" s="117"/>
      <c r="AN2" s="118"/>
      <c r="AO2" s="117"/>
      <c r="AP2" s="118"/>
      <c r="AQ2" s="117"/>
      <c r="AR2" s="116"/>
      <c r="AS2" s="117"/>
      <c r="AT2" s="116"/>
      <c r="AU2" s="117"/>
      <c r="AV2" s="116"/>
      <c r="AW2" s="117"/>
      <c r="AX2" s="116"/>
      <c r="AY2" s="117"/>
      <c r="AZ2" s="116"/>
      <c r="BA2" s="117"/>
      <c r="BB2" s="116"/>
      <c r="BC2" s="117"/>
      <c r="BD2" s="116"/>
      <c r="BE2" s="117"/>
      <c r="BF2" s="116"/>
      <c r="BG2" s="117"/>
      <c r="BH2" s="116"/>
      <c r="BI2" s="117"/>
      <c r="BJ2" s="116"/>
      <c r="BK2" s="117"/>
      <c r="BL2" s="116"/>
      <c r="BM2" s="130"/>
      <c r="BN2" s="54" t="s">
        <v>100</v>
      </c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</row>
    <row r="3" spans="1:82" ht="26.4" customHeight="1" thickBot="1">
      <c r="A3" s="131" t="s">
        <v>84</v>
      </c>
      <c r="B3" s="132"/>
      <c r="C3" s="133"/>
      <c r="D3" s="112"/>
      <c r="E3" s="113"/>
      <c r="F3" s="112" t="s">
        <v>103</v>
      </c>
      <c r="G3" s="113"/>
      <c r="H3" s="114"/>
      <c r="I3" s="115"/>
      <c r="J3" s="114"/>
      <c r="K3" s="115"/>
      <c r="L3" s="112"/>
      <c r="M3" s="113"/>
      <c r="N3" s="112" t="s">
        <v>104</v>
      </c>
      <c r="O3" s="113"/>
      <c r="P3" s="114"/>
      <c r="Q3" s="115"/>
      <c r="R3" s="112"/>
      <c r="S3" s="113"/>
      <c r="T3" s="112" t="s">
        <v>103</v>
      </c>
      <c r="U3" s="113"/>
      <c r="V3" s="114"/>
      <c r="W3" s="115"/>
      <c r="X3" s="114"/>
      <c r="Y3" s="115"/>
      <c r="Z3" s="112"/>
      <c r="AA3" s="113"/>
      <c r="AB3" s="112"/>
      <c r="AC3" s="113"/>
      <c r="AD3" s="110"/>
      <c r="AE3" s="111"/>
      <c r="AF3" s="110"/>
      <c r="AG3" s="111"/>
      <c r="AH3" s="112"/>
      <c r="AI3" s="113"/>
      <c r="AJ3" s="110"/>
      <c r="AK3" s="111"/>
      <c r="AL3" s="110"/>
      <c r="AM3" s="111"/>
      <c r="AN3" s="110"/>
      <c r="AO3" s="111"/>
      <c r="AP3" s="112"/>
      <c r="AQ3" s="113"/>
      <c r="AR3" s="110"/>
      <c r="AS3" s="111"/>
      <c r="AT3" s="110"/>
      <c r="AU3" s="111"/>
      <c r="AV3" s="112"/>
      <c r="AW3" s="113"/>
      <c r="AX3" s="114"/>
      <c r="AY3" s="115"/>
      <c r="AZ3" s="112"/>
      <c r="BA3" s="113"/>
      <c r="BB3" s="112"/>
      <c r="BC3" s="113"/>
      <c r="BD3" s="112"/>
      <c r="BE3" s="113"/>
      <c r="BF3" s="114"/>
      <c r="BG3" s="115"/>
      <c r="BH3" s="112"/>
      <c r="BI3" s="113"/>
      <c r="BJ3" s="112"/>
      <c r="BK3" s="113"/>
      <c r="BL3" s="114"/>
      <c r="BM3" s="115"/>
      <c r="BN3" s="55">
        <v>31</v>
      </c>
      <c r="BO3" s="53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</row>
    <row r="4" spans="1:82" ht="27.65" customHeight="1" thickBot="1">
      <c r="A4" s="134" t="s">
        <v>106</v>
      </c>
      <c r="B4" s="135"/>
      <c r="C4" s="83" t="s">
        <v>87</v>
      </c>
      <c r="D4" s="138">
        <v>46204</v>
      </c>
      <c r="E4" s="139"/>
      <c r="F4" s="138">
        <v>46205</v>
      </c>
      <c r="G4" s="139"/>
      <c r="H4" s="138">
        <v>46206</v>
      </c>
      <c r="I4" s="139"/>
      <c r="J4" s="138">
        <v>46207</v>
      </c>
      <c r="K4" s="139"/>
      <c r="L4" s="138">
        <v>46208</v>
      </c>
      <c r="M4" s="139"/>
      <c r="N4" s="138">
        <v>46209</v>
      </c>
      <c r="O4" s="139"/>
      <c r="P4" s="138">
        <v>46210</v>
      </c>
      <c r="Q4" s="139"/>
      <c r="R4" s="138">
        <v>46211</v>
      </c>
      <c r="S4" s="139"/>
      <c r="T4" s="138">
        <v>46212</v>
      </c>
      <c r="U4" s="139"/>
      <c r="V4" s="138">
        <v>46213</v>
      </c>
      <c r="W4" s="139"/>
      <c r="X4" s="138">
        <v>46214</v>
      </c>
      <c r="Y4" s="139"/>
      <c r="Z4" s="138">
        <v>46215</v>
      </c>
      <c r="AA4" s="139"/>
      <c r="AB4" s="138">
        <v>46216</v>
      </c>
      <c r="AC4" s="139"/>
      <c r="AD4" s="138">
        <v>46217</v>
      </c>
      <c r="AE4" s="139"/>
      <c r="AF4" s="138">
        <v>46218</v>
      </c>
      <c r="AG4" s="139"/>
      <c r="AH4" s="138">
        <v>46219</v>
      </c>
      <c r="AI4" s="139"/>
      <c r="AJ4" s="138">
        <v>46220</v>
      </c>
      <c r="AK4" s="139"/>
      <c r="AL4" s="138">
        <v>46221</v>
      </c>
      <c r="AM4" s="139"/>
      <c r="AN4" s="138">
        <v>46222</v>
      </c>
      <c r="AO4" s="139"/>
      <c r="AP4" s="138">
        <v>46223</v>
      </c>
      <c r="AQ4" s="139"/>
      <c r="AR4" s="138">
        <v>46224</v>
      </c>
      <c r="AS4" s="139"/>
      <c r="AT4" s="138">
        <v>46225</v>
      </c>
      <c r="AU4" s="139"/>
      <c r="AV4" s="138">
        <v>46226</v>
      </c>
      <c r="AW4" s="139"/>
      <c r="AX4" s="138">
        <v>46227</v>
      </c>
      <c r="AY4" s="139"/>
      <c r="AZ4" s="138">
        <v>46228</v>
      </c>
      <c r="BA4" s="139"/>
      <c r="BB4" s="138">
        <v>46229</v>
      </c>
      <c r="BC4" s="139"/>
      <c r="BD4" s="138">
        <v>46230</v>
      </c>
      <c r="BE4" s="139"/>
      <c r="BF4" s="138">
        <v>46231</v>
      </c>
      <c r="BG4" s="139"/>
      <c r="BH4" s="138">
        <v>46232</v>
      </c>
      <c r="BI4" s="139"/>
      <c r="BJ4" s="138">
        <v>46233</v>
      </c>
      <c r="BK4" s="139"/>
      <c r="BL4" s="138">
        <v>46234</v>
      </c>
      <c r="BM4" s="139"/>
      <c r="BN4" s="58" t="s">
        <v>102</v>
      </c>
      <c r="BO4" s="21"/>
      <c r="BP4" s="21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</row>
    <row r="5" spans="1:82" ht="15.65" customHeight="1" thickBot="1">
      <c r="A5" s="136"/>
      <c r="B5" s="137"/>
      <c r="C5" s="84"/>
      <c r="D5" s="140">
        <f>D4</f>
        <v>46204</v>
      </c>
      <c r="E5" s="141"/>
      <c r="F5" s="140">
        <f t="shared" ref="F5" si="0">F4</f>
        <v>46205</v>
      </c>
      <c r="G5" s="141"/>
      <c r="H5" s="140">
        <f t="shared" ref="H5" si="1">H4</f>
        <v>46206</v>
      </c>
      <c r="I5" s="141"/>
      <c r="J5" s="140">
        <f t="shared" ref="J5" si="2">J4</f>
        <v>46207</v>
      </c>
      <c r="K5" s="141"/>
      <c r="L5" s="140">
        <f t="shared" ref="L5" si="3">L4</f>
        <v>46208</v>
      </c>
      <c r="M5" s="141"/>
      <c r="N5" s="140">
        <f t="shared" ref="N5" si="4">N4</f>
        <v>46209</v>
      </c>
      <c r="O5" s="141"/>
      <c r="P5" s="140">
        <f t="shared" ref="P5" si="5">P4</f>
        <v>46210</v>
      </c>
      <c r="Q5" s="141"/>
      <c r="R5" s="140">
        <f t="shared" ref="R5" si="6">R4</f>
        <v>46211</v>
      </c>
      <c r="S5" s="141"/>
      <c r="T5" s="140">
        <f t="shared" ref="T5" si="7">T4</f>
        <v>46212</v>
      </c>
      <c r="U5" s="141"/>
      <c r="V5" s="140">
        <f t="shared" ref="V5" si="8">V4</f>
        <v>46213</v>
      </c>
      <c r="W5" s="141"/>
      <c r="X5" s="140">
        <f t="shared" ref="X5" si="9">X4</f>
        <v>46214</v>
      </c>
      <c r="Y5" s="141"/>
      <c r="Z5" s="140">
        <f t="shared" ref="Z5" si="10">Z4</f>
        <v>46215</v>
      </c>
      <c r="AA5" s="141"/>
      <c r="AB5" s="140">
        <f t="shared" ref="AB5" si="11">AB4</f>
        <v>46216</v>
      </c>
      <c r="AC5" s="141"/>
      <c r="AD5" s="140">
        <f t="shared" ref="AD5" si="12">AD4</f>
        <v>46217</v>
      </c>
      <c r="AE5" s="141"/>
      <c r="AF5" s="140">
        <f t="shared" ref="AF5" si="13">AF4</f>
        <v>46218</v>
      </c>
      <c r="AG5" s="141"/>
      <c r="AH5" s="140">
        <f t="shared" ref="AH5" si="14">AH4</f>
        <v>46219</v>
      </c>
      <c r="AI5" s="141"/>
      <c r="AJ5" s="140">
        <f t="shared" ref="AJ5" si="15">AJ4</f>
        <v>46220</v>
      </c>
      <c r="AK5" s="141"/>
      <c r="AL5" s="140">
        <f t="shared" ref="AL5" si="16">AL4</f>
        <v>46221</v>
      </c>
      <c r="AM5" s="141"/>
      <c r="AN5" s="140">
        <f t="shared" ref="AN5" si="17">AN4</f>
        <v>46222</v>
      </c>
      <c r="AO5" s="141"/>
      <c r="AP5" s="140">
        <f t="shared" ref="AP5" si="18">AP4</f>
        <v>46223</v>
      </c>
      <c r="AQ5" s="141"/>
      <c r="AR5" s="140">
        <f t="shared" ref="AR5" si="19">AR4</f>
        <v>46224</v>
      </c>
      <c r="AS5" s="141"/>
      <c r="AT5" s="140">
        <f t="shared" ref="AT5" si="20">AT4</f>
        <v>46225</v>
      </c>
      <c r="AU5" s="141"/>
      <c r="AV5" s="140">
        <f t="shared" ref="AV5" si="21">AV4</f>
        <v>46226</v>
      </c>
      <c r="AW5" s="141"/>
      <c r="AX5" s="140">
        <f t="shared" ref="AX5" si="22">AX4</f>
        <v>46227</v>
      </c>
      <c r="AY5" s="141"/>
      <c r="AZ5" s="140">
        <f t="shared" ref="AZ5" si="23">AZ4</f>
        <v>46228</v>
      </c>
      <c r="BA5" s="141"/>
      <c r="BB5" s="140">
        <f t="shared" ref="BB5" si="24">BB4</f>
        <v>46229</v>
      </c>
      <c r="BC5" s="141"/>
      <c r="BD5" s="140">
        <f t="shared" ref="BD5" si="25">BD4</f>
        <v>46230</v>
      </c>
      <c r="BE5" s="141"/>
      <c r="BF5" s="140">
        <f t="shared" ref="BF5" si="26">BF4</f>
        <v>46231</v>
      </c>
      <c r="BG5" s="141"/>
      <c r="BH5" s="140">
        <f t="shared" ref="BH5" si="27">BH4</f>
        <v>46232</v>
      </c>
      <c r="BI5" s="141"/>
      <c r="BJ5" s="140">
        <f t="shared" ref="BJ5" si="28">BJ4</f>
        <v>46233</v>
      </c>
      <c r="BK5" s="141"/>
      <c r="BL5" s="140">
        <f t="shared" ref="BL5" si="29">BL4</f>
        <v>46234</v>
      </c>
      <c r="BM5" s="141"/>
      <c r="BN5" s="47">
        <v>112</v>
      </c>
      <c r="BO5" s="21"/>
      <c r="BP5" s="21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</row>
    <row r="6" spans="1:82" ht="15" thickBot="1">
      <c r="A6" s="89" t="s">
        <v>112</v>
      </c>
      <c r="B6" s="89" t="s">
        <v>107</v>
      </c>
      <c r="C6" s="106"/>
      <c r="D6" s="74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6"/>
      <c r="Q6" s="76"/>
      <c r="R6" s="75"/>
      <c r="S6" s="75"/>
      <c r="T6" s="75"/>
      <c r="U6" s="75"/>
      <c r="V6" s="75"/>
      <c r="W6" s="75"/>
      <c r="X6" s="75"/>
      <c r="Y6" s="75"/>
      <c r="Z6" s="76"/>
      <c r="AA6" s="76"/>
      <c r="AB6" s="76"/>
      <c r="AC6" s="76"/>
      <c r="AD6" s="75"/>
      <c r="AE6" s="75"/>
      <c r="AF6" s="76"/>
      <c r="AG6" s="76"/>
      <c r="AH6" s="76"/>
      <c r="AI6" s="76"/>
      <c r="AJ6" s="75"/>
      <c r="AK6" s="75"/>
      <c r="AL6" s="75"/>
      <c r="AM6" s="75"/>
      <c r="AN6" s="76"/>
      <c r="AO6" s="76"/>
      <c r="AP6" s="76"/>
      <c r="AQ6" s="76"/>
      <c r="AR6" s="75"/>
      <c r="AS6" s="75"/>
      <c r="AT6" s="75"/>
      <c r="AU6" s="75"/>
      <c r="AV6" s="75"/>
      <c r="AW6" s="75"/>
      <c r="AX6" s="76"/>
      <c r="AY6" s="76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6"/>
      <c r="BK6" s="76"/>
      <c r="BL6" s="75"/>
      <c r="BM6" s="75"/>
      <c r="BN6" s="59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</row>
    <row r="7" spans="1:82" ht="15" thickBot="1">
      <c r="A7" s="84"/>
      <c r="B7" s="86"/>
      <c r="C7" s="107"/>
      <c r="D7" s="77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9"/>
      <c r="Q7" s="79"/>
      <c r="R7" s="78"/>
      <c r="S7" s="78"/>
      <c r="T7" s="78"/>
      <c r="U7" s="78"/>
      <c r="V7" s="78"/>
      <c r="W7" s="78"/>
      <c r="X7" s="78"/>
      <c r="Y7" s="78"/>
      <c r="Z7" s="79"/>
      <c r="AA7" s="79"/>
      <c r="AB7" s="79"/>
      <c r="AC7" s="79"/>
      <c r="AD7" s="78"/>
      <c r="AE7" s="78"/>
      <c r="AF7" s="79"/>
      <c r="AG7" s="79"/>
      <c r="AH7" s="79"/>
      <c r="AI7" s="79"/>
      <c r="AJ7" s="78"/>
      <c r="AK7" s="78"/>
      <c r="AL7" s="78"/>
      <c r="AM7" s="78"/>
      <c r="AN7" s="79"/>
      <c r="AO7" s="79"/>
      <c r="AP7" s="79"/>
      <c r="AQ7" s="79"/>
      <c r="AR7" s="78"/>
      <c r="AS7" s="78"/>
      <c r="AT7" s="78"/>
      <c r="AU7" s="78"/>
      <c r="AV7" s="78"/>
      <c r="AW7" s="78"/>
      <c r="AX7" s="79"/>
      <c r="AY7" s="79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9"/>
      <c r="BK7" s="79"/>
      <c r="BL7" s="78"/>
      <c r="BM7" s="78"/>
      <c r="BN7" s="60">
        <f>BN8-$BN$5</f>
        <v>-112</v>
      </c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</row>
    <row r="8" spans="1:82" ht="15" thickBot="1">
      <c r="A8" s="47">
        <v>22040023</v>
      </c>
      <c r="B8" s="84"/>
      <c r="C8" s="108"/>
      <c r="D8" s="87">
        <f t="shared" ref="D8" si="30">(E6-D6)+(E7-D7)</f>
        <v>0</v>
      </c>
      <c r="E8" s="88"/>
      <c r="F8" s="87">
        <f t="shared" ref="F8" si="31">(G6-F6)+(G7-F7)</f>
        <v>0</v>
      </c>
      <c r="G8" s="88"/>
      <c r="H8" s="87">
        <f t="shared" ref="H8" si="32">(I6-H6)+(I7-H7)</f>
        <v>0</v>
      </c>
      <c r="I8" s="88"/>
      <c r="J8" s="87">
        <f t="shared" ref="J8" si="33">(K6-J6)+(K7-J7)</f>
        <v>0</v>
      </c>
      <c r="K8" s="88"/>
      <c r="L8" s="87">
        <f t="shared" ref="L8" si="34">(M6-L6)+(M7-L7)</f>
        <v>0</v>
      </c>
      <c r="M8" s="88"/>
      <c r="N8" s="87">
        <f t="shared" ref="N8" si="35">(O6-N6)+(O7-N7)</f>
        <v>0</v>
      </c>
      <c r="O8" s="88"/>
      <c r="P8" s="87">
        <f t="shared" ref="P8" si="36">(Q6-P6)+(Q7-P7)</f>
        <v>0</v>
      </c>
      <c r="Q8" s="88"/>
      <c r="R8" s="87">
        <f t="shared" ref="R8" si="37">(S6-R6)+(S7-R7)</f>
        <v>0</v>
      </c>
      <c r="S8" s="88"/>
      <c r="T8" s="87">
        <f t="shared" ref="T8" si="38">(U6-T6)+(U7-T7)</f>
        <v>0</v>
      </c>
      <c r="U8" s="88"/>
      <c r="V8" s="87">
        <f t="shared" ref="V8" si="39">(W6-V6)+(W7-V7)</f>
        <v>0</v>
      </c>
      <c r="W8" s="88"/>
      <c r="X8" s="87">
        <f t="shared" ref="X8" si="40">(Y6-X6)+(Y7-X7)</f>
        <v>0</v>
      </c>
      <c r="Y8" s="88"/>
      <c r="Z8" s="87">
        <f t="shared" ref="Z8" si="41">(AA6-Z6)+(AA7-Z7)</f>
        <v>0</v>
      </c>
      <c r="AA8" s="88"/>
      <c r="AB8" s="87">
        <f t="shared" ref="AB8" si="42">(AC6-AB6)+(AC7-AB7)</f>
        <v>0</v>
      </c>
      <c r="AC8" s="88"/>
      <c r="AD8" s="87">
        <f t="shared" ref="AD8" si="43">(AE6-AD6)+(AE7-AD7)</f>
        <v>0</v>
      </c>
      <c r="AE8" s="88"/>
      <c r="AF8" s="87">
        <f t="shared" ref="AF8" si="44">(AG6-AF6)+(AG7-AF7)</f>
        <v>0</v>
      </c>
      <c r="AG8" s="88"/>
      <c r="AH8" s="87">
        <f t="shared" ref="AH8" si="45">(AI6-AH6)+(AI7-AH7)</f>
        <v>0</v>
      </c>
      <c r="AI8" s="88"/>
      <c r="AJ8" s="87">
        <f t="shared" ref="AJ8" si="46">(AK6-AJ6)+(AK7-AJ7)</f>
        <v>0</v>
      </c>
      <c r="AK8" s="88"/>
      <c r="AL8" s="87">
        <f t="shared" ref="AL8" si="47">(AM6-AL6)+(AM7-AL7)</f>
        <v>0</v>
      </c>
      <c r="AM8" s="88"/>
      <c r="AN8" s="87">
        <f t="shared" ref="AN8" si="48">(AO6-AN6)+(AO7-AN7)</f>
        <v>0</v>
      </c>
      <c r="AO8" s="88"/>
      <c r="AP8" s="87">
        <f t="shared" ref="AP8" si="49">(AQ6-AP6)+(AQ7-AP7)</f>
        <v>0</v>
      </c>
      <c r="AQ8" s="88"/>
      <c r="AR8" s="87">
        <f t="shared" ref="AR8" si="50">(AS6-AR6)+(AS7-AR7)</f>
        <v>0</v>
      </c>
      <c r="AS8" s="88"/>
      <c r="AT8" s="87">
        <f t="shared" ref="AT8" si="51">(AU6-AT6)+(AU7-AT7)</f>
        <v>0</v>
      </c>
      <c r="AU8" s="88"/>
      <c r="AV8" s="87">
        <f t="shared" ref="AV8" si="52">(AW6-AV6)+(AW7-AV7)</f>
        <v>0</v>
      </c>
      <c r="AW8" s="88"/>
      <c r="AX8" s="87">
        <f t="shared" ref="AX8" si="53">(AY6-AX6)+(AY7-AX7)</f>
        <v>0</v>
      </c>
      <c r="AY8" s="88"/>
      <c r="AZ8" s="87">
        <f t="shared" ref="AZ8" si="54">(BA6-AZ6)+(BA7-AZ7)</f>
        <v>0</v>
      </c>
      <c r="BA8" s="88"/>
      <c r="BB8" s="87">
        <f t="shared" ref="BB8" si="55">(BC6-BB6)+(BC7-BB7)</f>
        <v>0</v>
      </c>
      <c r="BC8" s="88"/>
      <c r="BD8" s="87">
        <f t="shared" ref="BD8" si="56">(BE6-BD6)+(BE7-BD7)</f>
        <v>0</v>
      </c>
      <c r="BE8" s="88"/>
      <c r="BF8" s="87">
        <f t="shared" ref="BF8" si="57">(BG6-BF6)+(BG7-BF7)</f>
        <v>0</v>
      </c>
      <c r="BG8" s="88"/>
      <c r="BH8" s="87">
        <f t="shared" ref="BH8" si="58">(BI6-BH6)+(BI7-BH7)</f>
        <v>0</v>
      </c>
      <c r="BI8" s="88"/>
      <c r="BJ8" s="87">
        <f t="shared" ref="BJ8" si="59">(BK6-BJ6)+(BK7-BJ7)</f>
        <v>0</v>
      </c>
      <c r="BK8" s="88"/>
      <c r="BL8" s="87">
        <f t="shared" ref="BL8" si="60">(BM6-BL6)+(BM7-BL7)</f>
        <v>0</v>
      </c>
      <c r="BM8" s="109"/>
      <c r="BN8" s="47">
        <f>SUM(D8:BM8)</f>
        <v>0</v>
      </c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</row>
    <row r="9" spans="1:82" ht="15" thickBot="1">
      <c r="A9" s="89" t="s">
        <v>112</v>
      </c>
      <c r="B9" s="89" t="s">
        <v>108</v>
      </c>
      <c r="C9" s="106"/>
      <c r="D9" s="74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6"/>
      <c r="Q9" s="76"/>
      <c r="R9" s="75"/>
      <c r="S9" s="75"/>
      <c r="T9" s="75"/>
      <c r="U9" s="75"/>
      <c r="V9" s="75"/>
      <c r="W9" s="75"/>
      <c r="X9" s="75"/>
      <c r="Y9" s="75"/>
      <c r="Z9" s="76"/>
      <c r="AA9" s="76"/>
      <c r="AB9" s="76"/>
      <c r="AC9" s="76"/>
      <c r="AD9" s="75"/>
      <c r="AE9" s="75"/>
      <c r="AF9" s="76"/>
      <c r="AG9" s="76"/>
      <c r="AH9" s="76"/>
      <c r="AI9" s="76"/>
      <c r="AJ9" s="75"/>
      <c r="AK9" s="75"/>
      <c r="AL9" s="75"/>
      <c r="AM9" s="75"/>
      <c r="AN9" s="76"/>
      <c r="AO9" s="76"/>
      <c r="AP9" s="76"/>
      <c r="AQ9" s="76"/>
      <c r="AR9" s="75"/>
      <c r="AS9" s="75"/>
      <c r="AT9" s="75"/>
      <c r="AU9" s="75"/>
      <c r="AV9" s="75"/>
      <c r="AW9" s="75"/>
      <c r="AX9" s="76"/>
      <c r="AY9" s="76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6"/>
      <c r="BK9" s="76"/>
      <c r="BL9" s="75"/>
      <c r="BM9" s="75"/>
      <c r="BN9" s="59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</row>
    <row r="10" spans="1:82" ht="15" thickBot="1">
      <c r="A10" s="84"/>
      <c r="B10" s="86"/>
      <c r="C10" s="107"/>
      <c r="D10" s="77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9"/>
      <c r="Q10" s="79"/>
      <c r="R10" s="78"/>
      <c r="S10" s="78"/>
      <c r="T10" s="78"/>
      <c r="U10" s="78"/>
      <c r="V10" s="78"/>
      <c r="W10" s="78"/>
      <c r="X10" s="78"/>
      <c r="Y10" s="78"/>
      <c r="Z10" s="79"/>
      <c r="AA10" s="79"/>
      <c r="AB10" s="79"/>
      <c r="AC10" s="79"/>
      <c r="AD10" s="78"/>
      <c r="AE10" s="78"/>
      <c r="AF10" s="79"/>
      <c r="AG10" s="79"/>
      <c r="AH10" s="79"/>
      <c r="AI10" s="79"/>
      <c r="AJ10" s="78"/>
      <c r="AK10" s="78"/>
      <c r="AL10" s="78"/>
      <c r="AM10" s="78"/>
      <c r="AN10" s="79"/>
      <c r="AO10" s="79"/>
      <c r="AP10" s="79"/>
      <c r="AQ10" s="79"/>
      <c r="AR10" s="78"/>
      <c r="AS10" s="78"/>
      <c r="AT10" s="78"/>
      <c r="AU10" s="78"/>
      <c r="AV10" s="78"/>
      <c r="AW10" s="78"/>
      <c r="AX10" s="79"/>
      <c r="AY10" s="79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9"/>
      <c r="BK10" s="79"/>
      <c r="BL10" s="78"/>
      <c r="BM10" s="78"/>
      <c r="BN10" s="60">
        <f>BN11-$BN$5</f>
        <v>-112</v>
      </c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</row>
    <row r="11" spans="1:82" ht="15" thickBot="1">
      <c r="A11" s="47"/>
      <c r="B11" s="84"/>
      <c r="C11" s="108"/>
      <c r="D11" s="87">
        <f t="shared" ref="D11" si="61">(E9-D9)+(E10-D10)</f>
        <v>0</v>
      </c>
      <c r="E11" s="88"/>
      <c r="F11" s="87">
        <f t="shared" ref="F11" si="62">(G9-F9)+(G10-F10)</f>
        <v>0</v>
      </c>
      <c r="G11" s="88"/>
      <c r="H11" s="87">
        <f t="shared" ref="H11" si="63">(I9-H9)+(I10-H10)</f>
        <v>0</v>
      </c>
      <c r="I11" s="88"/>
      <c r="J11" s="87">
        <f t="shared" ref="J11" si="64">(K9-J9)+(K10-J10)</f>
        <v>0</v>
      </c>
      <c r="K11" s="88"/>
      <c r="L11" s="87">
        <f t="shared" ref="L11" si="65">(M9-L9)+(M10-L10)</f>
        <v>0</v>
      </c>
      <c r="M11" s="88"/>
      <c r="N11" s="87">
        <f t="shared" ref="N11" si="66">(O9-N9)+(O10-N10)</f>
        <v>0</v>
      </c>
      <c r="O11" s="88"/>
      <c r="P11" s="87">
        <f t="shared" ref="P11" si="67">(Q9-P9)+(Q10-P10)</f>
        <v>0</v>
      </c>
      <c r="Q11" s="88"/>
      <c r="R11" s="87">
        <f t="shared" ref="R11" si="68">(S9-R9)+(S10-R10)</f>
        <v>0</v>
      </c>
      <c r="S11" s="88"/>
      <c r="T11" s="87">
        <f t="shared" ref="T11" si="69">(U9-T9)+(U10-T10)</f>
        <v>0</v>
      </c>
      <c r="U11" s="88"/>
      <c r="V11" s="87">
        <f t="shared" ref="V11" si="70">(W9-V9)+(W10-V10)</f>
        <v>0</v>
      </c>
      <c r="W11" s="88"/>
      <c r="X11" s="87">
        <f t="shared" ref="X11" si="71">(Y9-X9)+(Y10-X10)</f>
        <v>0</v>
      </c>
      <c r="Y11" s="88"/>
      <c r="Z11" s="87">
        <f t="shared" ref="Z11" si="72">(AA9-Z9)+(AA10-Z10)</f>
        <v>0</v>
      </c>
      <c r="AA11" s="88"/>
      <c r="AB11" s="87">
        <f t="shared" ref="AB11" si="73">(AC9-AB9)+(AC10-AB10)</f>
        <v>0</v>
      </c>
      <c r="AC11" s="88"/>
      <c r="AD11" s="87">
        <f t="shared" ref="AD11" si="74">(AE9-AD9)+(AE10-AD10)</f>
        <v>0</v>
      </c>
      <c r="AE11" s="88"/>
      <c r="AF11" s="87">
        <f t="shared" ref="AF11" si="75">(AG9-AF9)+(AG10-AF10)</f>
        <v>0</v>
      </c>
      <c r="AG11" s="88"/>
      <c r="AH11" s="87">
        <f t="shared" ref="AH11" si="76">(AI9-AH9)+(AI10-AH10)</f>
        <v>0</v>
      </c>
      <c r="AI11" s="88"/>
      <c r="AJ11" s="87">
        <f t="shared" ref="AJ11" si="77">(AK9-AJ9)+(AK10-AJ10)</f>
        <v>0</v>
      </c>
      <c r="AK11" s="88"/>
      <c r="AL11" s="87">
        <f t="shared" ref="AL11" si="78">(AM9-AL9)+(AM10-AL10)</f>
        <v>0</v>
      </c>
      <c r="AM11" s="88"/>
      <c r="AN11" s="87">
        <f t="shared" ref="AN11" si="79">(AO9-AN9)+(AO10-AN10)</f>
        <v>0</v>
      </c>
      <c r="AO11" s="88"/>
      <c r="AP11" s="87">
        <f t="shared" ref="AP11" si="80">(AQ9-AP9)+(AQ10-AP10)</f>
        <v>0</v>
      </c>
      <c r="AQ11" s="88"/>
      <c r="AR11" s="87">
        <f t="shared" ref="AR11" si="81">(AS9-AR9)+(AS10-AR10)</f>
        <v>0</v>
      </c>
      <c r="AS11" s="88"/>
      <c r="AT11" s="87">
        <f t="shared" ref="AT11" si="82">(AU9-AT9)+(AU10-AT10)</f>
        <v>0</v>
      </c>
      <c r="AU11" s="88"/>
      <c r="AV11" s="87">
        <f t="shared" ref="AV11" si="83">(AW9-AV9)+(AW10-AV10)</f>
        <v>0</v>
      </c>
      <c r="AW11" s="88"/>
      <c r="AX11" s="87">
        <f t="shared" ref="AX11" si="84">(AY9-AX9)+(AY10-AX10)</f>
        <v>0</v>
      </c>
      <c r="AY11" s="88"/>
      <c r="AZ11" s="87">
        <f t="shared" ref="AZ11" si="85">(BA9-AZ9)+(BA10-AZ10)</f>
        <v>0</v>
      </c>
      <c r="BA11" s="88"/>
      <c r="BB11" s="87">
        <f t="shared" ref="BB11" si="86">(BC9-BB9)+(BC10-BB10)</f>
        <v>0</v>
      </c>
      <c r="BC11" s="88"/>
      <c r="BD11" s="87">
        <f t="shared" ref="BD11" si="87">(BE9-BD9)+(BE10-BD10)</f>
        <v>0</v>
      </c>
      <c r="BE11" s="88"/>
      <c r="BF11" s="87">
        <f t="shared" ref="BF11" si="88">(BG9-BF9)+(BG10-BF10)</f>
        <v>0</v>
      </c>
      <c r="BG11" s="88"/>
      <c r="BH11" s="87">
        <f t="shared" ref="BH11" si="89">(BI9-BH9)+(BI10-BH10)</f>
        <v>0</v>
      </c>
      <c r="BI11" s="88"/>
      <c r="BJ11" s="87">
        <f t="shared" ref="BJ11" si="90">(BK9-BJ9)+(BK10-BJ10)</f>
        <v>0</v>
      </c>
      <c r="BK11" s="88"/>
      <c r="BL11" s="87">
        <f t="shared" ref="BL11" si="91">(BM9-BL9)+(BM10-BL10)</f>
        <v>0</v>
      </c>
      <c r="BM11" s="109"/>
      <c r="BN11" s="47">
        <f>SUM(D11:BM11)</f>
        <v>0</v>
      </c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</row>
    <row r="12" spans="1:82" ht="15" thickBot="1">
      <c r="A12" s="89" t="s">
        <v>112</v>
      </c>
      <c r="B12" s="89" t="s">
        <v>111</v>
      </c>
      <c r="C12" s="106"/>
      <c r="D12" s="74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6"/>
      <c r="Q12" s="76"/>
      <c r="R12" s="75"/>
      <c r="S12" s="75"/>
      <c r="T12" s="75"/>
      <c r="U12" s="75"/>
      <c r="V12" s="75"/>
      <c r="W12" s="75"/>
      <c r="X12" s="75"/>
      <c r="Y12" s="75"/>
      <c r="Z12" s="76"/>
      <c r="AA12" s="76"/>
      <c r="AB12" s="76"/>
      <c r="AC12" s="76"/>
      <c r="AD12" s="75"/>
      <c r="AE12" s="75"/>
      <c r="AF12" s="76"/>
      <c r="AG12" s="76"/>
      <c r="AH12" s="76"/>
      <c r="AI12" s="76"/>
      <c r="AJ12" s="75"/>
      <c r="AK12" s="75"/>
      <c r="AL12" s="75"/>
      <c r="AM12" s="75"/>
      <c r="AN12" s="76"/>
      <c r="AO12" s="76"/>
      <c r="AP12" s="76"/>
      <c r="AQ12" s="76"/>
      <c r="AR12" s="75"/>
      <c r="AS12" s="75"/>
      <c r="AT12" s="75"/>
      <c r="AU12" s="75"/>
      <c r="AV12" s="75"/>
      <c r="AW12" s="75"/>
      <c r="AX12" s="76"/>
      <c r="AY12" s="76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6"/>
      <c r="BK12" s="76"/>
      <c r="BL12" s="75"/>
      <c r="BM12" s="75"/>
      <c r="BN12" s="59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</row>
    <row r="13" spans="1:82" ht="15" thickBot="1">
      <c r="A13" s="84"/>
      <c r="B13" s="86"/>
      <c r="C13" s="107"/>
      <c r="D13" s="77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9"/>
      <c r="Q13" s="79"/>
      <c r="R13" s="78"/>
      <c r="S13" s="78"/>
      <c r="T13" s="78"/>
      <c r="U13" s="78"/>
      <c r="V13" s="78"/>
      <c r="W13" s="78"/>
      <c r="X13" s="78"/>
      <c r="Y13" s="78"/>
      <c r="Z13" s="79"/>
      <c r="AA13" s="79"/>
      <c r="AB13" s="79"/>
      <c r="AC13" s="79"/>
      <c r="AD13" s="78"/>
      <c r="AE13" s="78"/>
      <c r="AF13" s="79"/>
      <c r="AG13" s="79"/>
      <c r="AH13" s="79"/>
      <c r="AI13" s="79"/>
      <c r="AJ13" s="78"/>
      <c r="AK13" s="78"/>
      <c r="AL13" s="78"/>
      <c r="AM13" s="78"/>
      <c r="AN13" s="79"/>
      <c r="AO13" s="79"/>
      <c r="AP13" s="79"/>
      <c r="AQ13" s="79"/>
      <c r="AR13" s="78"/>
      <c r="AS13" s="78"/>
      <c r="AT13" s="78"/>
      <c r="AU13" s="78"/>
      <c r="AV13" s="78"/>
      <c r="AW13" s="78"/>
      <c r="AX13" s="79"/>
      <c r="AY13" s="79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79"/>
      <c r="BK13" s="79"/>
      <c r="BL13" s="78"/>
      <c r="BM13" s="78"/>
      <c r="BN13" s="60">
        <f>BN14-$BN$5</f>
        <v>-112</v>
      </c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</row>
    <row r="14" spans="1:82" ht="15" thickBot="1">
      <c r="A14" s="47"/>
      <c r="B14" s="84"/>
      <c r="C14" s="108"/>
      <c r="D14" s="87">
        <f t="shared" ref="D14" si="92">(E12-D12)+(E13-D13)</f>
        <v>0</v>
      </c>
      <c r="E14" s="88"/>
      <c r="F14" s="87">
        <f t="shared" ref="F14" si="93">(G12-F12)+(G13-F13)</f>
        <v>0</v>
      </c>
      <c r="G14" s="88"/>
      <c r="H14" s="87">
        <f t="shared" ref="H14" si="94">(I12-H12)+(I13-H13)</f>
        <v>0</v>
      </c>
      <c r="I14" s="88"/>
      <c r="J14" s="87">
        <f t="shared" ref="J14" si="95">(K12-J12)+(K13-J13)</f>
        <v>0</v>
      </c>
      <c r="K14" s="88"/>
      <c r="L14" s="87">
        <f t="shared" ref="L14" si="96">(M12-L12)+(M13-L13)</f>
        <v>0</v>
      </c>
      <c r="M14" s="88"/>
      <c r="N14" s="87">
        <f t="shared" ref="N14" si="97">(O12-N12)+(O13-N13)</f>
        <v>0</v>
      </c>
      <c r="O14" s="88"/>
      <c r="P14" s="87">
        <f t="shared" ref="P14" si="98">(Q12-P12)+(Q13-P13)</f>
        <v>0</v>
      </c>
      <c r="Q14" s="88"/>
      <c r="R14" s="87">
        <f t="shared" ref="R14" si="99">(S12-R12)+(S13-R13)</f>
        <v>0</v>
      </c>
      <c r="S14" s="88"/>
      <c r="T14" s="87">
        <f t="shared" ref="T14" si="100">(U12-T12)+(U13-T13)</f>
        <v>0</v>
      </c>
      <c r="U14" s="88"/>
      <c r="V14" s="87">
        <f t="shared" ref="V14" si="101">(W12-V12)+(W13-V13)</f>
        <v>0</v>
      </c>
      <c r="W14" s="88"/>
      <c r="X14" s="87">
        <f t="shared" ref="X14" si="102">(Y12-X12)+(Y13-X13)</f>
        <v>0</v>
      </c>
      <c r="Y14" s="88"/>
      <c r="Z14" s="87">
        <f t="shared" ref="Z14" si="103">(AA12-Z12)+(AA13-Z13)</f>
        <v>0</v>
      </c>
      <c r="AA14" s="88"/>
      <c r="AB14" s="87">
        <f t="shared" ref="AB14" si="104">(AC12-AB12)+(AC13-AB13)</f>
        <v>0</v>
      </c>
      <c r="AC14" s="88"/>
      <c r="AD14" s="87">
        <f t="shared" ref="AD14" si="105">(AE12-AD12)+(AE13-AD13)</f>
        <v>0</v>
      </c>
      <c r="AE14" s="88"/>
      <c r="AF14" s="87">
        <f t="shared" ref="AF14" si="106">(AG12-AF12)+(AG13-AF13)</f>
        <v>0</v>
      </c>
      <c r="AG14" s="88"/>
      <c r="AH14" s="87">
        <f t="shared" ref="AH14" si="107">(AI12-AH12)+(AI13-AH13)</f>
        <v>0</v>
      </c>
      <c r="AI14" s="88"/>
      <c r="AJ14" s="87">
        <f t="shared" ref="AJ14" si="108">(AK12-AJ12)+(AK13-AJ13)</f>
        <v>0</v>
      </c>
      <c r="AK14" s="88"/>
      <c r="AL14" s="87">
        <f t="shared" ref="AL14" si="109">(AM12-AL12)+(AM13-AL13)</f>
        <v>0</v>
      </c>
      <c r="AM14" s="88"/>
      <c r="AN14" s="87">
        <f t="shared" ref="AN14" si="110">(AO12-AN12)+(AO13-AN13)</f>
        <v>0</v>
      </c>
      <c r="AO14" s="88"/>
      <c r="AP14" s="87">
        <f t="shared" ref="AP14" si="111">(AQ12-AP12)+(AQ13-AP13)</f>
        <v>0</v>
      </c>
      <c r="AQ14" s="88"/>
      <c r="AR14" s="87">
        <f t="shared" ref="AR14" si="112">(AS12-AR12)+(AS13-AR13)</f>
        <v>0</v>
      </c>
      <c r="AS14" s="88"/>
      <c r="AT14" s="87">
        <f t="shared" ref="AT14" si="113">(AU12-AT12)+(AU13-AT13)</f>
        <v>0</v>
      </c>
      <c r="AU14" s="88"/>
      <c r="AV14" s="87">
        <f t="shared" ref="AV14" si="114">(AW12-AV12)+(AW13-AV13)</f>
        <v>0</v>
      </c>
      <c r="AW14" s="88"/>
      <c r="AX14" s="87">
        <f t="shared" ref="AX14" si="115">(AY12-AX12)+(AY13-AX13)</f>
        <v>0</v>
      </c>
      <c r="AY14" s="88"/>
      <c r="AZ14" s="87">
        <f t="shared" ref="AZ14" si="116">(BA12-AZ12)+(BA13-AZ13)</f>
        <v>0</v>
      </c>
      <c r="BA14" s="88"/>
      <c r="BB14" s="87">
        <f t="shared" ref="BB14" si="117">(BC12-BB12)+(BC13-BB13)</f>
        <v>0</v>
      </c>
      <c r="BC14" s="88"/>
      <c r="BD14" s="87">
        <f t="shared" ref="BD14" si="118">(BE12-BD12)+(BE13-BD13)</f>
        <v>0</v>
      </c>
      <c r="BE14" s="88"/>
      <c r="BF14" s="87">
        <f t="shared" ref="BF14" si="119">(BG12-BF12)+(BG13-BF13)</f>
        <v>0</v>
      </c>
      <c r="BG14" s="88"/>
      <c r="BH14" s="87">
        <f t="shared" ref="BH14" si="120">(BI12-BH12)+(BI13-BH13)</f>
        <v>0</v>
      </c>
      <c r="BI14" s="88"/>
      <c r="BJ14" s="87">
        <f t="shared" ref="BJ14" si="121">(BK12-BJ12)+(BK13-BJ13)</f>
        <v>0</v>
      </c>
      <c r="BK14" s="88"/>
      <c r="BL14" s="87">
        <f t="shared" ref="BL14" si="122">(BM12-BL12)+(BM13-BL13)</f>
        <v>0</v>
      </c>
      <c r="BM14" s="109"/>
      <c r="BN14" s="47">
        <f>SUM(D14:BM14)</f>
        <v>0</v>
      </c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</row>
    <row r="15" spans="1:82" ht="15" thickBot="1">
      <c r="A15" s="89" t="s">
        <v>116</v>
      </c>
      <c r="B15" s="89" t="s">
        <v>110</v>
      </c>
      <c r="C15" s="106"/>
      <c r="D15" s="74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6"/>
      <c r="Q15" s="76"/>
      <c r="R15" s="75"/>
      <c r="S15" s="75"/>
      <c r="T15" s="75"/>
      <c r="U15" s="75"/>
      <c r="V15" s="75"/>
      <c r="W15" s="75"/>
      <c r="X15" s="75"/>
      <c r="Y15" s="75"/>
      <c r="Z15" s="76"/>
      <c r="AA15" s="76"/>
      <c r="AB15" s="76"/>
      <c r="AC15" s="76"/>
      <c r="AD15" s="75"/>
      <c r="AE15" s="75"/>
      <c r="AF15" s="76"/>
      <c r="AG15" s="76"/>
      <c r="AH15" s="76"/>
      <c r="AI15" s="76"/>
      <c r="AJ15" s="75"/>
      <c r="AK15" s="75"/>
      <c r="AL15" s="75"/>
      <c r="AM15" s="75"/>
      <c r="AN15" s="76"/>
      <c r="AO15" s="76"/>
      <c r="AP15" s="76"/>
      <c r="AQ15" s="76"/>
      <c r="AR15" s="75"/>
      <c r="AS15" s="75"/>
      <c r="AT15" s="75"/>
      <c r="AU15" s="75"/>
      <c r="AV15" s="75"/>
      <c r="AW15" s="75"/>
      <c r="AX15" s="76"/>
      <c r="AY15" s="76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6"/>
      <c r="BK15" s="76"/>
      <c r="BL15" s="75"/>
      <c r="BM15" s="75"/>
      <c r="BN15" s="59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</row>
    <row r="16" spans="1:82" ht="15" thickBot="1">
      <c r="A16" s="84"/>
      <c r="B16" s="86"/>
      <c r="C16" s="107"/>
      <c r="D16" s="77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9"/>
      <c r="Q16" s="79"/>
      <c r="R16" s="78"/>
      <c r="S16" s="78"/>
      <c r="T16" s="78"/>
      <c r="U16" s="78"/>
      <c r="V16" s="78"/>
      <c r="W16" s="78"/>
      <c r="X16" s="78"/>
      <c r="Y16" s="78"/>
      <c r="Z16" s="79"/>
      <c r="AA16" s="79"/>
      <c r="AB16" s="79"/>
      <c r="AC16" s="79"/>
      <c r="AD16" s="78"/>
      <c r="AE16" s="78"/>
      <c r="AF16" s="79"/>
      <c r="AG16" s="79"/>
      <c r="AH16" s="79"/>
      <c r="AI16" s="79"/>
      <c r="AJ16" s="78"/>
      <c r="AK16" s="78"/>
      <c r="AL16" s="78"/>
      <c r="AM16" s="78"/>
      <c r="AN16" s="79"/>
      <c r="AO16" s="79"/>
      <c r="AP16" s="79"/>
      <c r="AQ16" s="79"/>
      <c r="AR16" s="78"/>
      <c r="AS16" s="78"/>
      <c r="AT16" s="78"/>
      <c r="AU16" s="78"/>
      <c r="AV16" s="78"/>
      <c r="AW16" s="78"/>
      <c r="AX16" s="79"/>
      <c r="AY16" s="79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9"/>
      <c r="BK16" s="79"/>
      <c r="BL16" s="78"/>
      <c r="BM16" s="78"/>
      <c r="BN16" s="60">
        <f>BN17-$BN$5</f>
        <v>-112</v>
      </c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</row>
    <row r="17" spans="1:82" ht="15" thickBot="1">
      <c r="A17" s="61"/>
      <c r="B17" s="84"/>
      <c r="C17" s="108"/>
      <c r="D17" s="87">
        <f t="shared" ref="D17" si="123">(E15-D15)+(E16-D16)</f>
        <v>0</v>
      </c>
      <c r="E17" s="88"/>
      <c r="F17" s="87">
        <f t="shared" ref="F17" si="124">(G15-F15)+(G16-F16)</f>
        <v>0</v>
      </c>
      <c r="G17" s="88"/>
      <c r="H17" s="87">
        <f t="shared" ref="H17" si="125">(I15-H15)+(I16-H16)</f>
        <v>0</v>
      </c>
      <c r="I17" s="88"/>
      <c r="J17" s="87">
        <f t="shared" ref="J17" si="126">(K15-J15)+(K16-J16)</f>
        <v>0</v>
      </c>
      <c r="K17" s="88"/>
      <c r="L17" s="87">
        <f t="shared" ref="L17" si="127">(M15-L15)+(M16-L16)</f>
        <v>0</v>
      </c>
      <c r="M17" s="88"/>
      <c r="N17" s="87">
        <f t="shared" ref="N17" si="128">(O15-N15)+(O16-N16)</f>
        <v>0</v>
      </c>
      <c r="O17" s="88"/>
      <c r="P17" s="87">
        <f t="shared" ref="P17" si="129">(Q15-P15)+(Q16-P16)</f>
        <v>0</v>
      </c>
      <c r="Q17" s="88"/>
      <c r="R17" s="87">
        <f t="shared" ref="R17" si="130">(S15-R15)+(S16-R16)</f>
        <v>0</v>
      </c>
      <c r="S17" s="88"/>
      <c r="T17" s="87">
        <f t="shared" ref="T17" si="131">(U15-T15)+(U16-T16)</f>
        <v>0</v>
      </c>
      <c r="U17" s="88"/>
      <c r="V17" s="87">
        <f t="shared" ref="V17" si="132">(W15-V15)+(W16-V16)</f>
        <v>0</v>
      </c>
      <c r="W17" s="88"/>
      <c r="X17" s="87">
        <f t="shared" ref="X17" si="133">(Y15-X15)+(Y16-X16)</f>
        <v>0</v>
      </c>
      <c r="Y17" s="88"/>
      <c r="Z17" s="87">
        <f t="shared" ref="Z17" si="134">(AA15-Z15)+(AA16-Z16)</f>
        <v>0</v>
      </c>
      <c r="AA17" s="88"/>
      <c r="AB17" s="87">
        <f t="shared" ref="AB17" si="135">(AC15-AB15)+(AC16-AB16)</f>
        <v>0</v>
      </c>
      <c r="AC17" s="88"/>
      <c r="AD17" s="87">
        <f t="shared" ref="AD17" si="136">(AE15-AD15)+(AE16-AD16)</f>
        <v>0</v>
      </c>
      <c r="AE17" s="88"/>
      <c r="AF17" s="87">
        <f t="shared" ref="AF17" si="137">(AG15-AF15)+(AG16-AF16)</f>
        <v>0</v>
      </c>
      <c r="AG17" s="88"/>
      <c r="AH17" s="87">
        <f t="shared" ref="AH17" si="138">(AI15-AH15)+(AI16-AH16)</f>
        <v>0</v>
      </c>
      <c r="AI17" s="88"/>
      <c r="AJ17" s="87">
        <f t="shared" ref="AJ17" si="139">(AK15-AJ15)+(AK16-AJ16)</f>
        <v>0</v>
      </c>
      <c r="AK17" s="88"/>
      <c r="AL17" s="87">
        <f t="shared" ref="AL17" si="140">(AM15-AL15)+(AM16-AL16)</f>
        <v>0</v>
      </c>
      <c r="AM17" s="88"/>
      <c r="AN17" s="87">
        <f t="shared" ref="AN17" si="141">(AO15-AN15)+(AO16-AN16)</f>
        <v>0</v>
      </c>
      <c r="AO17" s="88"/>
      <c r="AP17" s="87">
        <f t="shared" ref="AP17" si="142">(AQ15-AP15)+(AQ16-AP16)</f>
        <v>0</v>
      </c>
      <c r="AQ17" s="88"/>
      <c r="AR17" s="87">
        <f t="shared" ref="AR17" si="143">(AS15-AR15)+(AS16-AR16)</f>
        <v>0</v>
      </c>
      <c r="AS17" s="88"/>
      <c r="AT17" s="87">
        <f t="shared" ref="AT17" si="144">(AU15-AT15)+(AU16-AT16)</f>
        <v>0</v>
      </c>
      <c r="AU17" s="88"/>
      <c r="AV17" s="87">
        <f t="shared" ref="AV17" si="145">(AW15-AV15)+(AW16-AV16)</f>
        <v>0</v>
      </c>
      <c r="AW17" s="88"/>
      <c r="AX17" s="87">
        <f t="shared" ref="AX17" si="146">(AY15-AX15)+(AY16-AX16)</f>
        <v>0</v>
      </c>
      <c r="AY17" s="88"/>
      <c r="AZ17" s="87">
        <f t="shared" ref="AZ17" si="147">(BA15-AZ15)+(BA16-AZ16)</f>
        <v>0</v>
      </c>
      <c r="BA17" s="88"/>
      <c r="BB17" s="87">
        <f t="shared" ref="BB17" si="148">(BC15-BB15)+(BC16-BB16)</f>
        <v>0</v>
      </c>
      <c r="BC17" s="88"/>
      <c r="BD17" s="87">
        <f t="shared" ref="BD17" si="149">(BE15-BD15)+(BE16-BD16)</f>
        <v>0</v>
      </c>
      <c r="BE17" s="88"/>
      <c r="BF17" s="87">
        <f t="shared" ref="BF17" si="150">(BG15-BF15)+(BG16-BF16)</f>
        <v>0</v>
      </c>
      <c r="BG17" s="88"/>
      <c r="BH17" s="87">
        <f t="shared" ref="BH17" si="151">(BI15-BH15)+(BI16-BH16)</f>
        <v>0</v>
      </c>
      <c r="BI17" s="88"/>
      <c r="BJ17" s="87">
        <f t="shared" ref="BJ17" si="152">(BK15-BJ15)+(BK16-BJ16)</f>
        <v>0</v>
      </c>
      <c r="BK17" s="88"/>
      <c r="BL17" s="87">
        <f t="shared" ref="BL17" si="153">(BM15-BL15)+(BM16-BL16)</f>
        <v>0</v>
      </c>
      <c r="BM17" s="109"/>
      <c r="BN17" s="47">
        <f>SUM(D17:BM17)</f>
        <v>0</v>
      </c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</row>
    <row r="18" spans="1:82" ht="15.65" customHeight="1" thickBot="1">
      <c r="A18" s="89" t="s">
        <v>116</v>
      </c>
      <c r="B18" s="89" t="s">
        <v>109</v>
      </c>
      <c r="C18" s="168"/>
      <c r="D18" s="74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6"/>
      <c r="Q18" s="76"/>
      <c r="R18" s="75"/>
      <c r="S18" s="75"/>
      <c r="T18" s="75"/>
      <c r="U18" s="75"/>
      <c r="V18" s="75"/>
      <c r="W18" s="75"/>
      <c r="X18" s="75"/>
      <c r="Y18" s="75"/>
      <c r="Z18" s="76"/>
      <c r="AA18" s="76"/>
      <c r="AB18" s="76"/>
      <c r="AC18" s="76"/>
      <c r="AD18" s="75"/>
      <c r="AE18" s="75"/>
      <c r="AF18" s="76"/>
      <c r="AG18" s="76"/>
      <c r="AH18" s="76"/>
      <c r="AI18" s="76"/>
      <c r="AJ18" s="75"/>
      <c r="AK18" s="75"/>
      <c r="AL18" s="75"/>
      <c r="AM18" s="75"/>
      <c r="AN18" s="76"/>
      <c r="AO18" s="76"/>
      <c r="AP18" s="76"/>
      <c r="AQ18" s="76"/>
      <c r="AR18" s="75"/>
      <c r="AS18" s="75"/>
      <c r="AT18" s="75"/>
      <c r="AU18" s="75"/>
      <c r="AV18" s="75"/>
      <c r="AW18" s="75"/>
      <c r="AX18" s="76"/>
      <c r="AY18" s="76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6"/>
      <c r="BK18" s="76"/>
      <c r="BL18" s="75"/>
      <c r="BM18" s="75"/>
      <c r="BN18" s="59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</row>
    <row r="19" spans="1:82" ht="15" thickBot="1">
      <c r="A19" s="84"/>
      <c r="B19" s="86"/>
      <c r="C19" s="169"/>
      <c r="D19" s="77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9"/>
      <c r="Q19" s="79"/>
      <c r="R19" s="78"/>
      <c r="S19" s="78"/>
      <c r="T19" s="78"/>
      <c r="U19" s="78"/>
      <c r="V19" s="78"/>
      <c r="W19" s="78"/>
      <c r="X19" s="78"/>
      <c r="Y19" s="78"/>
      <c r="Z19" s="79"/>
      <c r="AA19" s="79"/>
      <c r="AB19" s="79"/>
      <c r="AC19" s="79"/>
      <c r="AD19" s="78"/>
      <c r="AE19" s="78"/>
      <c r="AF19" s="79"/>
      <c r="AG19" s="79"/>
      <c r="AH19" s="79"/>
      <c r="AI19" s="79"/>
      <c r="AJ19" s="78"/>
      <c r="AK19" s="78"/>
      <c r="AL19" s="78"/>
      <c r="AM19" s="78"/>
      <c r="AN19" s="79"/>
      <c r="AO19" s="79"/>
      <c r="AP19" s="79"/>
      <c r="AQ19" s="79"/>
      <c r="AR19" s="78"/>
      <c r="AS19" s="78"/>
      <c r="AT19" s="78"/>
      <c r="AU19" s="78"/>
      <c r="AV19" s="78"/>
      <c r="AW19" s="78"/>
      <c r="AX19" s="79"/>
      <c r="AY19" s="79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9"/>
      <c r="BK19" s="79"/>
      <c r="BL19" s="78"/>
      <c r="BM19" s="78"/>
      <c r="BN19" s="60">
        <f>BN20-$BN$5</f>
        <v>-112</v>
      </c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</row>
    <row r="20" spans="1:82" ht="15" thickBot="1">
      <c r="A20" s="47"/>
      <c r="B20" s="84"/>
      <c r="C20" s="170"/>
      <c r="D20" s="87">
        <f t="shared" ref="D20" si="154">(E18-D18)+(E19-D19)</f>
        <v>0</v>
      </c>
      <c r="E20" s="88"/>
      <c r="F20" s="87">
        <f t="shared" ref="F20" si="155">(G18-F18)+(G19-F19)</f>
        <v>0</v>
      </c>
      <c r="G20" s="88"/>
      <c r="H20" s="87">
        <f t="shared" ref="H20" si="156">(I18-H18)+(I19-H19)</f>
        <v>0</v>
      </c>
      <c r="I20" s="88"/>
      <c r="J20" s="87">
        <f t="shared" ref="J20" si="157">(K18-J18)+(K19-J19)</f>
        <v>0</v>
      </c>
      <c r="K20" s="88"/>
      <c r="L20" s="87">
        <f t="shared" ref="L20" si="158">(M18-L18)+(M19-L19)</f>
        <v>0</v>
      </c>
      <c r="M20" s="88"/>
      <c r="N20" s="87">
        <f t="shared" ref="N20" si="159">(O18-N18)+(O19-N19)</f>
        <v>0</v>
      </c>
      <c r="O20" s="88"/>
      <c r="P20" s="87">
        <f t="shared" ref="P20" si="160">(Q18-P18)+(Q19-P19)</f>
        <v>0</v>
      </c>
      <c r="Q20" s="88"/>
      <c r="R20" s="87">
        <f t="shared" ref="R20" si="161">(S18-R18)+(S19-R19)</f>
        <v>0</v>
      </c>
      <c r="S20" s="88"/>
      <c r="T20" s="87">
        <f t="shared" ref="T20" si="162">(U18-T18)+(U19-T19)</f>
        <v>0</v>
      </c>
      <c r="U20" s="88"/>
      <c r="V20" s="87">
        <f t="shared" ref="V20" si="163">(W18-V18)+(W19-V19)</f>
        <v>0</v>
      </c>
      <c r="W20" s="88"/>
      <c r="X20" s="87">
        <f t="shared" ref="X20" si="164">(Y18-X18)+(Y19-X19)</f>
        <v>0</v>
      </c>
      <c r="Y20" s="88"/>
      <c r="Z20" s="87">
        <f t="shared" ref="Z20" si="165">(AA18-Z18)+(AA19-Z19)</f>
        <v>0</v>
      </c>
      <c r="AA20" s="88"/>
      <c r="AB20" s="87">
        <f t="shared" ref="AB20" si="166">(AC18-AB18)+(AC19-AB19)</f>
        <v>0</v>
      </c>
      <c r="AC20" s="88"/>
      <c r="AD20" s="87">
        <f t="shared" ref="AD20" si="167">(AE18-AD18)+(AE19-AD19)</f>
        <v>0</v>
      </c>
      <c r="AE20" s="88"/>
      <c r="AF20" s="87">
        <f t="shared" ref="AF20" si="168">(AG18-AF18)+(AG19-AF19)</f>
        <v>0</v>
      </c>
      <c r="AG20" s="88"/>
      <c r="AH20" s="87">
        <f t="shared" ref="AH20" si="169">(AI18-AH18)+(AI19-AH19)</f>
        <v>0</v>
      </c>
      <c r="AI20" s="88"/>
      <c r="AJ20" s="87">
        <f t="shared" ref="AJ20" si="170">(AK18-AJ18)+(AK19-AJ19)</f>
        <v>0</v>
      </c>
      <c r="AK20" s="88"/>
      <c r="AL20" s="87">
        <f t="shared" ref="AL20" si="171">(AM18-AL18)+(AM19-AL19)</f>
        <v>0</v>
      </c>
      <c r="AM20" s="88"/>
      <c r="AN20" s="87">
        <f t="shared" ref="AN20" si="172">(AO18-AN18)+(AO19-AN19)</f>
        <v>0</v>
      </c>
      <c r="AO20" s="88"/>
      <c r="AP20" s="87">
        <f t="shared" ref="AP20" si="173">(AQ18-AP18)+(AQ19-AP19)</f>
        <v>0</v>
      </c>
      <c r="AQ20" s="88"/>
      <c r="AR20" s="87">
        <f t="shared" ref="AR20" si="174">(AS18-AR18)+(AS19-AR19)</f>
        <v>0</v>
      </c>
      <c r="AS20" s="88"/>
      <c r="AT20" s="87">
        <f t="shared" ref="AT20" si="175">(AU18-AT18)+(AU19-AT19)</f>
        <v>0</v>
      </c>
      <c r="AU20" s="88"/>
      <c r="AV20" s="87">
        <f t="shared" ref="AV20" si="176">(AW18-AV18)+(AW19-AV19)</f>
        <v>0</v>
      </c>
      <c r="AW20" s="88"/>
      <c r="AX20" s="87">
        <f t="shared" ref="AX20" si="177">(AY18-AX18)+(AY19-AX19)</f>
        <v>0</v>
      </c>
      <c r="AY20" s="88"/>
      <c r="AZ20" s="87">
        <f t="shared" ref="AZ20" si="178">(BA18-AZ18)+(BA19-AZ19)</f>
        <v>0</v>
      </c>
      <c r="BA20" s="88"/>
      <c r="BB20" s="87">
        <f t="shared" ref="BB20" si="179">(BC18-BB18)+(BC19-BB19)</f>
        <v>0</v>
      </c>
      <c r="BC20" s="88"/>
      <c r="BD20" s="87">
        <f t="shared" ref="BD20" si="180">(BE18-BD18)+(BE19-BD19)</f>
        <v>0</v>
      </c>
      <c r="BE20" s="88"/>
      <c r="BF20" s="87">
        <f t="shared" ref="BF20" si="181">(BG18-BF18)+(BG19-BF19)</f>
        <v>0</v>
      </c>
      <c r="BG20" s="88"/>
      <c r="BH20" s="87">
        <f t="shared" ref="BH20" si="182">(BI18-BH18)+(BI19-BH19)</f>
        <v>0</v>
      </c>
      <c r="BI20" s="88"/>
      <c r="BJ20" s="87">
        <f t="shared" ref="BJ20" si="183">(BK18-BJ18)+(BK19-BJ19)</f>
        <v>0</v>
      </c>
      <c r="BK20" s="88"/>
      <c r="BL20" s="87">
        <f t="shared" ref="BL20" si="184">(BM18-BL18)+(BM19-BL19)</f>
        <v>0</v>
      </c>
      <c r="BM20" s="109"/>
      <c r="BN20" s="47">
        <f>SUM(D20:BM20)</f>
        <v>0</v>
      </c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</row>
    <row r="21" spans="1:82" ht="15" thickBot="1">
      <c r="A21" s="83"/>
      <c r="B21" s="89"/>
      <c r="C21" s="106"/>
      <c r="D21" s="74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6"/>
      <c r="Q21" s="76"/>
      <c r="R21" s="75"/>
      <c r="S21" s="75"/>
      <c r="T21" s="75"/>
      <c r="U21" s="75"/>
      <c r="V21" s="75"/>
      <c r="W21" s="75"/>
      <c r="X21" s="75"/>
      <c r="Y21" s="75"/>
      <c r="Z21" s="76"/>
      <c r="AA21" s="76"/>
      <c r="AB21" s="76"/>
      <c r="AC21" s="76"/>
      <c r="AD21" s="75"/>
      <c r="AE21" s="75"/>
      <c r="AF21" s="76"/>
      <c r="AG21" s="76"/>
      <c r="AH21" s="76"/>
      <c r="AI21" s="76"/>
      <c r="AJ21" s="75"/>
      <c r="AK21" s="75"/>
      <c r="AL21" s="75"/>
      <c r="AM21" s="75"/>
      <c r="AN21" s="76"/>
      <c r="AO21" s="76"/>
      <c r="AP21" s="76"/>
      <c r="AQ21" s="76"/>
      <c r="AR21" s="75"/>
      <c r="AS21" s="75"/>
      <c r="AT21" s="75"/>
      <c r="AU21" s="75"/>
      <c r="AV21" s="75"/>
      <c r="AW21" s="75"/>
      <c r="AX21" s="76"/>
      <c r="AY21" s="76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6"/>
      <c r="BK21" s="76"/>
      <c r="BL21" s="75"/>
      <c r="BM21" s="75"/>
      <c r="BN21" s="59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</row>
    <row r="22" spans="1:82" ht="15" thickBot="1">
      <c r="A22" s="84"/>
      <c r="B22" s="86"/>
      <c r="C22" s="107"/>
      <c r="D22" s="77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9"/>
      <c r="Q22" s="79"/>
      <c r="R22" s="78"/>
      <c r="S22" s="78"/>
      <c r="T22" s="78"/>
      <c r="U22" s="78"/>
      <c r="V22" s="78"/>
      <c r="W22" s="78"/>
      <c r="X22" s="78"/>
      <c r="Y22" s="78"/>
      <c r="Z22" s="79"/>
      <c r="AA22" s="79"/>
      <c r="AB22" s="79"/>
      <c r="AC22" s="79"/>
      <c r="AD22" s="78"/>
      <c r="AE22" s="78"/>
      <c r="AF22" s="79"/>
      <c r="AG22" s="79"/>
      <c r="AH22" s="79"/>
      <c r="AI22" s="79"/>
      <c r="AJ22" s="78"/>
      <c r="AK22" s="78"/>
      <c r="AL22" s="78"/>
      <c r="AM22" s="78"/>
      <c r="AN22" s="79"/>
      <c r="AO22" s="79"/>
      <c r="AP22" s="79"/>
      <c r="AQ22" s="79"/>
      <c r="AR22" s="78"/>
      <c r="AS22" s="78"/>
      <c r="AT22" s="78"/>
      <c r="AU22" s="78"/>
      <c r="AV22" s="78"/>
      <c r="AW22" s="78"/>
      <c r="AX22" s="79"/>
      <c r="AY22" s="79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9"/>
      <c r="BK22" s="79"/>
      <c r="BL22" s="78"/>
      <c r="BM22" s="78"/>
      <c r="BN22" s="60">
        <f>BN23-$BN$5</f>
        <v>-112</v>
      </c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</row>
    <row r="23" spans="1:82" ht="15" thickBot="1">
      <c r="A23" s="47"/>
      <c r="B23" s="84"/>
      <c r="C23" s="108"/>
      <c r="D23" s="87">
        <f t="shared" ref="D23" si="185">(E21-D21)+(E22-D22)</f>
        <v>0</v>
      </c>
      <c r="E23" s="88"/>
      <c r="F23" s="87">
        <f t="shared" ref="F23" si="186">(G21-F21)+(G22-F22)</f>
        <v>0</v>
      </c>
      <c r="G23" s="88"/>
      <c r="H23" s="87">
        <f t="shared" ref="H23" si="187">(I21-H21)+(I22-H22)</f>
        <v>0</v>
      </c>
      <c r="I23" s="88"/>
      <c r="J23" s="87">
        <f t="shared" ref="J23" si="188">(K21-J21)+(K22-J22)</f>
        <v>0</v>
      </c>
      <c r="K23" s="88"/>
      <c r="L23" s="87">
        <f t="shared" ref="L23" si="189">(M21-L21)+(M22-L22)</f>
        <v>0</v>
      </c>
      <c r="M23" s="88"/>
      <c r="N23" s="87">
        <f t="shared" ref="N23" si="190">(O21-N21)+(O22-N22)</f>
        <v>0</v>
      </c>
      <c r="O23" s="88"/>
      <c r="P23" s="87">
        <f t="shared" ref="P23" si="191">(Q21-P21)+(Q22-P22)</f>
        <v>0</v>
      </c>
      <c r="Q23" s="88"/>
      <c r="R23" s="87">
        <f t="shared" ref="R23" si="192">(S21-R21)+(S22-R22)</f>
        <v>0</v>
      </c>
      <c r="S23" s="88"/>
      <c r="T23" s="87">
        <f t="shared" ref="T23" si="193">(U21-T21)+(U22-T22)</f>
        <v>0</v>
      </c>
      <c r="U23" s="88"/>
      <c r="V23" s="87">
        <f t="shared" ref="V23" si="194">(W21-V21)+(W22-V22)</f>
        <v>0</v>
      </c>
      <c r="W23" s="88"/>
      <c r="X23" s="87">
        <f t="shared" ref="X23" si="195">(Y21-X21)+(Y22-X22)</f>
        <v>0</v>
      </c>
      <c r="Y23" s="88"/>
      <c r="Z23" s="87">
        <f t="shared" ref="Z23" si="196">(AA21-Z21)+(AA22-Z22)</f>
        <v>0</v>
      </c>
      <c r="AA23" s="88"/>
      <c r="AB23" s="87">
        <f t="shared" ref="AB23" si="197">(AC21-AB21)+(AC22-AB22)</f>
        <v>0</v>
      </c>
      <c r="AC23" s="88"/>
      <c r="AD23" s="87">
        <f t="shared" ref="AD23" si="198">(AE21-AD21)+(AE22-AD22)</f>
        <v>0</v>
      </c>
      <c r="AE23" s="88"/>
      <c r="AF23" s="87">
        <f t="shared" ref="AF23" si="199">(AG21-AF21)+(AG22-AF22)</f>
        <v>0</v>
      </c>
      <c r="AG23" s="88"/>
      <c r="AH23" s="87">
        <f t="shared" ref="AH23" si="200">(AI21-AH21)+(AI22-AH22)</f>
        <v>0</v>
      </c>
      <c r="AI23" s="88"/>
      <c r="AJ23" s="87">
        <f t="shared" ref="AJ23" si="201">(AK21-AJ21)+(AK22-AJ22)</f>
        <v>0</v>
      </c>
      <c r="AK23" s="88"/>
      <c r="AL23" s="87">
        <f t="shared" ref="AL23" si="202">(AM21-AL21)+(AM22-AL22)</f>
        <v>0</v>
      </c>
      <c r="AM23" s="88"/>
      <c r="AN23" s="87">
        <f t="shared" ref="AN23" si="203">(AO21-AN21)+(AO22-AN22)</f>
        <v>0</v>
      </c>
      <c r="AO23" s="88"/>
      <c r="AP23" s="87">
        <f t="shared" ref="AP23" si="204">(AQ21-AP21)+(AQ22-AP22)</f>
        <v>0</v>
      </c>
      <c r="AQ23" s="88"/>
      <c r="AR23" s="87">
        <f t="shared" ref="AR23" si="205">(AS21-AR21)+(AS22-AR22)</f>
        <v>0</v>
      </c>
      <c r="AS23" s="88"/>
      <c r="AT23" s="87">
        <f t="shared" ref="AT23" si="206">(AU21-AT21)+(AU22-AT22)</f>
        <v>0</v>
      </c>
      <c r="AU23" s="88"/>
      <c r="AV23" s="87">
        <f t="shared" ref="AV23" si="207">(AW21-AV21)+(AW22-AV22)</f>
        <v>0</v>
      </c>
      <c r="AW23" s="88"/>
      <c r="AX23" s="87">
        <f t="shared" ref="AX23" si="208">(AY21-AX21)+(AY22-AX22)</f>
        <v>0</v>
      </c>
      <c r="AY23" s="88"/>
      <c r="AZ23" s="87">
        <f t="shared" ref="AZ23" si="209">(BA21-AZ21)+(BA22-AZ22)</f>
        <v>0</v>
      </c>
      <c r="BA23" s="88"/>
      <c r="BB23" s="87">
        <f t="shared" ref="BB23" si="210">(BC21-BB21)+(BC22-BB22)</f>
        <v>0</v>
      </c>
      <c r="BC23" s="88"/>
      <c r="BD23" s="87">
        <f t="shared" ref="BD23" si="211">(BE21-BD21)+(BE22-BD22)</f>
        <v>0</v>
      </c>
      <c r="BE23" s="88"/>
      <c r="BF23" s="87">
        <f t="shared" ref="BF23" si="212">(BG21-BF21)+(BG22-BF22)</f>
        <v>0</v>
      </c>
      <c r="BG23" s="88"/>
      <c r="BH23" s="87">
        <f t="shared" ref="BH23" si="213">(BI21-BH21)+(BI22-BH22)</f>
        <v>0</v>
      </c>
      <c r="BI23" s="88"/>
      <c r="BJ23" s="87">
        <f t="shared" ref="BJ23" si="214">(BK21-BJ21)+(BK22-BJ22)</f>
        <v>0</v>
      </c>
      <c r="BK23" s="88"/>
      <c r="BL23" s="87">
        <f t="shared" ref="BL23" si="215">(BM21-BL21)+(BM22-BL22)</f>
        <v>0</v>
      </c>
      <c r="BM23" s="109"/>
      <c r="BN23" s="47">
        <f>SUM(D23:BM23)</f>
        <v>0</v>
      </c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</row>
    <row r="24" spans="1:82" ht="15" thickBot="1">
      <c r="A24" s="83"/>
      <c r="B24" s="83"/>
      <c r="C24" s="106"/>
      <c r="D24" s="74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6"/>
      <c r="Q24" s="76"/>
      <c r="R24" s="75"/>
      <c r="S24" s="75"/>
      <c r="T24" s="75"/>
      <c r="U24" s="75"/>
      <c r="V24" s="75"/>
      <c r="W24" s="75"/>
      <c r="X24" s="75"/>
      <c r="Y24" s="75"/>
      <c r="Z24" s="76"/>
      <c r="AA24" s="76"/>
      <c r="AB24" s="76"/>
      <c r="AC24" s="76"/>
      <c r="AD24" s="75"/>
      <c r="AE24" s="75"/>
      <c r="AF24" s="76"/>
      <c r="AG24" s="76"/>
      <c r="AH24" s="76"/>
      <c r="AI24" s="76"/>
      <c r="AJ24" s="75"/>
      <c r="AK24" s="75"/>
      <c r="AL24" s="75"/>
      <c r="AM24" s="75"/>
      <c r="AN24" s="76"/>
      <c r="AO24" s="76"/>
      <c r="AP24" s="76"/>
      <c r="AQ24" s="76"/>
      <c r="AR24" s="75"/>
      <c r="AS24" s="75"/>
      <c r="AT24" s="75"/>
      <c r="AU24" s="75"/>
      <c r="AV24" s="75"/>
      <c r="AW24" s="75"/>
      <c r="AX24" s="76"/>
      <c r="AY24" s="76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6"/>
      <c r="BK24" s="76"/>
      <c r="BL24" s="75"/>
      <c r="BM24" s="75"/>
      <c r="BN24" s="59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</row>
    <row r="25" spans="1:82" ht="15" thickBot="1">
      <c r="A25" s="84"/>
      <c r="B25" s="86"/>
      <c r="C25" s="107"/>
      <c r="D25" s="77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9"/>
      <c r="Q25" s="79"/>
      <c r="R25" s="78"/>
      <c r="S25" s="78"/>
      <c r="T25" s="78"/>
      <c r="U25" s="78"/>
      <c r="V25" s="78"/>
      <c r="W25" s="78"/>
      <c r="X25" s="78"/>
      <c r="Y25" s="78"/>
      <c r="Z25" s="79"/>
      <c r="AA25" s="79"/>
      <c r="AB25" s="79"/>
      <c r="AC25" s="79"/>
      <c r="AD25" s="78"/>
      <c r="AE25" s="78"/>
      <c r="AF25" s="79"/>
      <c r="AG25" s="79"/>
      <c r="AH25" s="79"/>
      <c r="AI25" s="79"/>
      <c r="AJ25" s="78"/>
      <c r="AK25" s="78"/>
      <c r="AL25" s="78"/>
      <c r="AM25" s="78"/>
      <c r="AN25" s="79"/>
      <c r="AO25" s="79"/>
      <c r="AP25" s="79"/>
      <c r="AQ25" s="79"/>
      <c r="AR25" s="78"/>
      <c r="AS25" s="78"/>
      <c r="AT25" s="78"/>
      <c r="AU25" s="78"/>
      <c r="AV25" s="78"/>
      <c r="AW25" s="78"/>
      <c r="AX25" s="79"/>
      <c r="AY25" s="79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9"/>
      <c r="BK25" s="79"/>
      <c r="BL25" s="78"/>
      <c r="BM25" s="78"/>
      <c r="BN25" s="60">
        <f>BN26-$BN$5</f>
        <v>-112</v>
      </c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</row>
    <row r="26" spans="1:82" ht="15" thickBot="1">
      <c r="A26" s="47"/>
      <c r="B26" s="84"/>
      <c r="C26" s="108"/>
      <c r="D26" s="104">
        <f t="shared" ref="D26" si="216">(E24-D24)+(E25-D25)</f>
        <v>0</v>
      </c>
      <c r="E26" s="105"/>
      <c r="F26" s="104">
        <f t="shared" ref="F26" si="217">(G24-F24)+(G25-F25)</f>
        <v>0</v>
      </c>
      <c r="G26" s="105"/>
      <c r="H26" s="104">
        <f t="shared" ref="H26" si="218">(I24-H24)+(I25-H25)</f>
        <v>0</v>
      </c>
      <c r="I26" s="105"/>
      <c r="J26" s="104">
        <f t="shared" ref="J26" si="219">(K24-J24)+(K25-J25)</f>
        <v>0</v>
      </c>
      <c r="K26" s="105"/>
      <c r="L26" s="104">
        <f t="shared" ref="L26" si="220">(M24-L24)+(M25-L25)</f>
        <v>0</v>
      </c>
      <c r="M26" s="105"/>
      <c r="N26" s="104">
        <f t="shared" ref="N26" si="221">(O24-N24)+(O25-N25)</f>
        <v>0</v>
      </c>
      <c r="O26" s="105"/>
      <c r="P26" s="104">
        <f t="shared" ref="P26" si="222">(Q24-P24)+(Q25-P25)</f>
        <v>0</v>
      </c>
      <c r="Q26" s="105"/>
      <c r="R26" s="104">
        <f t="shared" ref="R26" si="223">(S24-R24)+(S25-R25)</f>
        <v>0</v>
      </c>
      <c r="S26" s="105"/>
      <c r="T26" s="90">
        <f t="shared" ref="T26" si="224">(U24-T24)+(U25-T25)</f>
        <v>0</v>
      </c>
      <c r="U26" s="91"/>
      <c r="V26" s="90">
        <f t="shared" ref="V26" si="225">(W24-V24)+(W25-V25)</f>
        <v>0</v>
      </c>
      <c r="W26" s="91"/>
      <c r="X26" s="90">
        <f t="shared" ref="X26" si="226">(Y24-X24)+(Y25-X25)</f>
        <v>0</v>
      </c>
      <c r="Y26" s="91"/>
      <c r="Z26" s="90">
        <f t="shared" ref="Z26" si="227">(AA24-Z24)+(AA25-Z25)</f>
        <v>0</v>
      </c>
      <c r="AA26" s="91"/>
      <c r="AB26" s="90">
        <f t="shared" ref="AB26" si="228">(AC24-AB24)+(AC25-AB25)</f>
        <v>0</v>
      </c>
      <c r="AC26" s="91"/>
      <c r="AD26" s="90">
        <f t="shared" ref="AD26" si="229">(AE24-AD24)+(AE25-AD25)</f>
        <v>0</v>
      </c>
      <c r="AE26" s="91"/>
      <c r="AF26" s="90">
        <f t="shared" ref="AF26" si="230">(AG24-AF24)+(AG25-AF25)</f>
        <v>0</v>
      </c>
      <c r="AG26" s="91"/>
      <c r="AH26" s="90">
        <f t="shared" ref="AH26" si="231">(AI24-AH24)+(AI25-AH25)</f>
        <v>0</v>
      </c>
      <c r="AI26" s="91"/>
      <c r="AJ26" s="90">
        <f t="shared" ref="AJ26" si="232">(AK24-AJ24)+(AK25-AJ25)</f>
        <v>0</v>
      </c>
      <c r="AK26" s="91"/>
      <c r="AL26" s="90">
        <f t="shared" ref="AL26" si="233">(AM24-AL24)+(AM25-AL25)</f>
        <v>0</v>
      </c>
      <c r="AM26" s="91"/>
      <c r="AN26" s="90">
        <f t="shared" ref="AN26" si="234">(AO24-AN24)+(AO25-AN25)</f>
        <v>0</v>
      </c>
      <c r="AO26" s="91"/>
      <c r="AP26" s="90">
        <f t="shared" ref="AP26" si="235">(AQ24-AP24)+(AQ25-AP25)</f>
        <v>0</v>
      </c>
      <c r="AQ26" s="91"/>
      <c r="AR26" s="90">
        <f t="shared" ref="AR26" si="236">(AS24-AR24)+(AS25-AR25)</f>
        <v>0</v>
      </c>
      <c r="AS26" s="91"/>
      <c r="AT26" s="90">
        <f t="shared" ref="AT26" si="237">(AU24-AT24)+(AU25-AT25)</f>
        <v>0</v>
      </c>
      <c r="AU26" s="91"/>
      <c r="AV26" s="90">
        <f t="shared" ref="AV26" si="238">(AW24-AV24)+(AW25-AV25)</f>
        <v>0</v>
      </c>
      <c r="AW26" s="91"/>
      <c r="AX26" s="90">
        <f t="shared" ref="AX26" si="239">(AY24-AX24)+(AY25-AX25)</f>
        <v>0</v>
      </c>
      <c r="AY26" s="91"/>
      <c r="AZ26" s="90">
        <f t="shared" ref="AZ26" si="240">(BA24-AZ24)+(BA25-AZ25)</f>
        <v>0</v>
      </c>
      <c r="BA26" s="91"/>
      <c r="BB26" s="90">
        <f t="shared" ref="BB26" si="241">(BC24-BB24)+(BC25-BB25)</f>
        <v>0</v>
      </c>
      <c r="BC26" s="91"/>
      <c r="BD26" s="90">
        <f t="shared" ref="BD26" si="242">(BE24-BD24)+(BE25-BD25)</f>
        <v>0</v>
      </c>
      <c r="BE26" s="91"/>
      <c r="BF26" s="90">
        <f t="shared" ref="BF26" si="243">(BG24-BF24)+(BG25-BF25)</f>
        <v>0</v>
      </c>
      <c r="BG26" s="91"/>
      <c r="BH26" s="90">
        <f t="shared" ref="BH26" si="244">(BI24-BH24)+(BI25-BH25)</f>
        <v>0</v>
      </c>
      <c r="BI26" s="91"/>
      <c r="BJ26" s="90">
        <f t="shared" ref="BJ26" si="245">(BK24-BJ24)+(BK25-BJ25)</f>
        <v>0</v>
      </c>
      <c r="BK26" s="91"/>
      <c r="BL26" s="90">
        <f t="shared" ref="BL26" si="246">(BM24-BL24)+(BM25-BL25)</f>
        <v>0</v>
      </c>
      <c r="BM26" s="92"/>
      <c r="BN26" s="47">
        <f>SUM(D26:BM26)</f>
        <v>0</v>
      </c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</row>
    <row r="27" spans="1:82" ht="15" thickBot="1">
      <c r="A27" s="89" t="s">
        <v>114</v>
      </c>
      <c r="B27" s="89" t="s">
        <v>113</v>
      </c>
      <c r="C27" s="93"/>
      <c r="D27" s="74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6"/>
      <c r="Q27" s="76"/>
      <c r="R27" s="75"/>
      <c r="S27" s="75"/>
      <c r="T27" s="75"/>
      <c r="U27" s="75"/>
      <c r="V27" s="75"/>
      <c r="W27" s="75"/>
      <c r="X27" s="75"/>
      <c r="Y27" s="75"/>
      <c r="Z27" s="76"/>
      <c r="AA27" s="76"/>
      <c r="AB27" s="76"/>
      <c r="AC27" s="76"/>
      <c r="AD27" s="75"/>
      <c r="AE27" s="75"/>
      <c r="AF27" s="76"/>
      <c r="AG27" s="76"/>
      <c r="AH27" s="76"/>
      <c r="AI27" s="76"/>
      <c r="AJ27" s="75"/>
      <c r="AK27" s="75"/>
      <c r="AL27" s="75"/>
      <c r="AM27" s="75"/>
      <c r="AN27" s="76"/>
      <c r="AO27" s="76"/>
      <c r="AP27" s="76"/>
      <c r="AQ27" s="76"/>
      <c r="AR27" s="75"/>
      <c r="AS27" s="75"/>
      <c r="AT27" s="75"/>
      <c r="AU27" s="75"/>
      <c r="AV27" s="75"/>
      <c r="AW27" s="75"/>
      <c r="AX27" s="76"/>
      <c r="AY27" s="76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6"/>
      <c r="BK27" s="76"/>
      <c r="BL27" s="75"/>
      <c r="BM27" s="75"/>
      <c r="BN27" s="48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</row>
    <row r="28" spans="1:82" ht="15" thickBot="1">
      <c r="A28" s="84"/>
      <c r="B28" s="86"/>
      <c r="C28" s="94"/>
      <c r="D28" s="77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9"/>
      <c r="Q28" s="79"/>
      <c r="R28" s="78"/>
      <c r="S28" s="78"/>
      <c r="T28" s="78"/>
      <c r="U28" s="78"/>
      <c r="V28" s="78"/>
      <c r="W28" s="78"/>
      <c r="X28" s="78"/>
      <c r="Y28" s="78"/>
      <c r="Z28" s="79"/>
      <c r="AA28" s="79"/>
      <c r="AB28" s="79"/>
      <c r="AC28" s="79"/>
      <c r="AD28" s="78"/>
      <c r="AE28" s="78"/>
      <c r="AF28" s="79"/>
      <c r="AG28" s="79"/>
      <c r="AH28" s="79"/>
      <c r="AI28" s="79"/>
      <c r="AJ28" s="78"/>
      <c r="AK28" s="78"/>
      <c r="AL28" s="78"/>
      <c r="AM28" s="78"/>
      <c r="AN28" s="79"/>
      <c r="AO28" s="79"/>
      <c r="AP28" s="79"/>
      <c r="AQ28" s="79"/>
      <c r="AR28" s="78"/>
      <c r="AS28" s="78"/>
      <c r="AT28" s="78"/>
      <c r="AU28" s="78"/>
      <c r="AV28" s="78"/>
      <c r="AW28" s="78"/>
      <c r="AX28" s="79"/>
      <c r="AY28" s="79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9"/>
      <c r="BK28" s="79"/>
      <c r="BL28" s="78"/>
      <c r="BM28" s="78"/>
      <c r="BN28" s="49">
        <f>BN29-$BN$5</f>
        <v>-112</v>
      </c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</row>
    <row r="29" spans="1:82" ht="15" thickBot="1">
      <c r="A29" s="47">
        <v>25120137</v>
      </c>
      <c r="B29" s="84"/>
      <c r="C29" s="95"/>
      <c r="D29" s="90">
        <f>(E27-D27)+(E28-D28)</f>
        <v>0</v>
      </c>
      <c r="E29" s="91"/>
      <c r="F29" s="90">
        <f t="shared" ref="F29" si="247">(G27-F27)+(G28-F28)</f>
        <v>0</v>
      </c>
      <c r="G29" s="91"/>
      <c r="H29" s="90">
        <f t="shared" ref="H29" si="248">(I27-H27)+(I28-H28)</f>
        <v>0</v>
      </c>
      <c r="I29" s="91"/>
      <c r="J29" s="90">
        <f t="shared" ref="J29" si="249">(K27-J27)+(K28-J28)</f>
        <v>0</v>
      </c>
      <c r="K29" s="91"/>
      <c r="L29" s="90">
        <f t="shared" ref="L29" si="250">(M27-L27)+(M28-L28)</f>
        <v>0</v>
      </c>
      <c r="M29" s="91"/>
      <c r="N29" s="90">
        <f t="shared" ref="N29" si="251">(O27-N27)+(O28-N28)</f>
        <v>0</v>
      </c>
      <c r="O29" s="91"/>
      <c r="P29" s="90">
        <f t="shared" ref="P29" si="252">(Q27-P27)+(Q28-P28)</f>
        <v>0</v>
      </c>
      <c r="Q29" s="91"/>
      <c r="R29" s="90">
        <f t="shared" ref="R29" si="253">(S27-R27)+(S28-R28)</f>
        <v>0</v>
      </c>
      <c r="S29" s="91"/>
      <c r="T29" s="90">
        <f t="shared" ref="T29" si="254">(U27-T27)+(U28-T28)</f>
        <v>0</v>
      </c>
      <c r="U29" s="91"/>
      <c r="V29" s="90">
        <f t="shared" ref="V29" si="255">(W27-V27)+(W28-V28)</f>
        <v>0</v>
      </c>
      <c r="W29" s="91"/>
      <c r="X29" s="90">
        <f t="shared" ref="X29" si="256">(Y27-X27)+(Y28-X28)</f>
        <v>0</v>
      </c>
      <c r="Y29" s="91"/>
      <c r="Z29" s="90">
        <f t="shared" ref="Z29" si="257">(AA27-Z27)+(AA28-Z28)</f>
        <v>0</v>
      </c>
      <c r="AA29" s="91"/>
      <c r="AB29" s="90">
        <f t="shared" ref="AB29" si="258">(AC27-AB27)+(AC28-AB28)</f>
        <v>0</v>
      </c>
      <c r="AC29" s="91"/>
      <c r="AD29" s="90">
        <f t="shared" ref="AD29" si="259">(AE27-AD27)+(AE28-AD28)</f>
        <v>0</v>
      </c>
      <c r="AE29" s="91"/>
      <c r="AF29" s="90">
        <f t="shared" ref="AF29" si="260">(AG27-AF27)+(AG28-AF28)</f>
        <v>0</v>
      </c>
      <c r="AG29" s="91"/>
      <c r="AH29" s="90">
        <f t="shared" ref="AH29" si="261">(AI27-AH27)+(AI28-AH28)</f>
        <v>0</v>
      </c>
      <c r="AI29" s="91"/>
      <c r="AJ29" s="90">
        <f t="shared" ref="AJ29" si="262">(AK27-AJ27)+(AK28-AJ28)</f>
        <v>0</v>
      </c>
      <c r="AK29" s="91"/>
      <c r="AL29" s="90">
        <f t="shared" ref="AL29" si="263">(AM27-AL27)+(AM28-AL28)</f>
        <v>0</v>
      </c>
      <c r="AM29" s="91"/>
      <c r="AN29" s="90">
        <f t="shared" ref="AN29" si="264">(AO27-AN27)+(AO28-AN28)</f>
        <v>0</v>
      </c>
      <c r="AO29" s="91"/>
      <c r="AP29" s="90">
        <f t="shared" ref="AP29" si="265">(AQ27-AP27)+(AQ28-AP28)</f>
        <v>0</v>
      </c>
      <c r="AQ29" s="91"/>
      <c r="AR29" s="90">
        <f t="shared" ref="AR29" si="266">(AS27-AR27)+(AS28-AR28)</f>
        <v>0</v>
      </c>
      <c r="AS29" s="91"/>
      <c r="AT29" s="90">
        <f t="shared" ref="AT29" si="267">(AU27-AT27)+(AU28-AT28)</f>
        <v>0</v>
      </c>
      <c r="AU29" s="91"/>
      <c r="AV29" s="90">
        <f t="shared" ref="AV29" si="268">(AW27-AV27)+(AW28-AV28)</f>
        <v>0</v>
      </c>
      <c r="AW29" s="91"/>
      <c r="AX29" s="90">
        <f t="shared" ref="AX29" si="269">(AY27-AX27)+(AY28-AX28)</f>
        <v>0</v>
      </c>
      <c r="AY29" s="91"/>
      <c r="AZ29" s="90">
        <f t="shared" ref="AZ29" si="270">(BA27-AZ27)+(BA28-AZ28)</f>
        <v>0</v>
      </c>
      <c r="BA29" s="91"/>
      <c r="BB29" s="90">
        <f t="shared" ref="BB29" si="271">(BC27-BB27)+(BC28-BB28)</f>
        <v>0</v>
      </c>
      <c r="BC29" s="91"/>
      <c r="BD29" s="90">
        <f t="shared" ref="BD29" si="272">(BE27-BD27)+(BE28-BD28)</f>
        <v>0</v>
      </c>
      <c r="BE29" s="91"/>
      <c r="BF29" s="90">
        <f t="shared" ref="BF29" si="273">(BG27-BF27)+(BG28-BF28)</f>
        <v>0</v>
      </c>
      <c r="BG29" s="91"/>
      <c r="BH29" s="90">
        <f t="shared" ref="BH29" si="274">(BI27-BH27)+(BI28-BH28)</f>
        <v>0</v>
      </c>
      <c r="BI29" s="91"/>
      <c r="BJ29" s="90">
        <f t="shared" ref="BJ29" si="275">(BK27-BJ27)+(BK28-BJ28)</f>
        <v>0</v>
      </c>
      <c r="BK29" s="91"/>
      <c r="BL29" s="90">
        <f t="shared" ref="BL29" si="276">(BM27-BL27)+(BM28-BL28)</f>
        <v>0</v>
      </c>
      <c r="BM29" s="92"/>
      <c r="BN29" s="50">
        <f>SUM(D29:BM29)</f>
        <v>0</v>
      </c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</row>
    <row r="30" spans="1:82" ht="15" thickBot="1">
      <c r="A30" s="83"/>
      <c r="B30" s="83"/>
      <c r="C30" s="93"/>
      <c r="D30" s="74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6"/>
      <c r="Q30" s="76"/>
      <c r="R30" s="75"/>
      <c r="S30" s="75"/>
      <c r="T30" s="75"/>
      <c r="U30" s="75"/>
      <c r="V30" s="75"/>
      <c r="W30" s="75"/>
      <c r="X30" s="75"/>
      <c r="Y30" s="75"/>
      <c r="Z30" s="76"/>
      <c r="AA30" s="76"/>
      <c r="AB30" s="76"/>
      <c r="AC30" s="76"/>
      <c r="AD30" s="75"/>
      <c r="AE30" s="75"/>
      <c r="AF30" s="76"/>
      <c r="AG30" s="76"/>
      <c r="AH30" s="76"/>
      <c r="AI30" s="76"/>
      <c r="AJ30" s="75"/>
      <c r="AK30" s="75"/>
      <c r="AL30" s="75"/>
      <c r="AM30" s="75"/>
      <c r="AN30" s="76"/>
      <c r="AO30" s="76"/>
      <c r="AP30" s="76"/>
      <c r="AQ30" s="76"/>
      <c r="AR30" s="75"/>
      <c r="AS30" s="75"/>
      <c r="AT30" s="75"/>
      <c r="AU30" s="75"/>
      <c r="AV30" s="75"/>
      <c r="AW30" s="75"/>
      <c r="AX30" s="76"/>
      <c r="AY30" s="76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6"/>
      <c r="BK30" s="76"/>
      <c r="BL30" s="75"/>
      <c r="BM30" s="75"/>
      <c r="BN30" s="48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</row>
    <row r="31" spans="1:82" ht="15" thickBot="1">
      <c r="A31" s="84"/>
      <c r="B31" s="86"/>
      <c r="C31" s="94"/>
      <c r="D31" s="77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9"/>
      <c r="Q31" s="79"/>
      <c r="R31" s="78"/>
      <c r="S31" s="78"/>
      <c r="T31" s="78"/>
      <c r="U31" s="78"/>
      <c r="V31" s="78"/>
      <c r="W31" s="78"/>
      <c r="X31" s="78"/>
      <c r="Y31" s="78"/>
      <c r="Z31" s="79"/>
      <c r="AA31" s="79"/>
      <c r="AB31" s="79"/>
      <c r="AC31" s="79"/>
      <c r="AD31" s="78"/>
      <c r="AE31" s="78"/>
      <c r="AF31" s="79"/>
      <c r="AG31" s="79"/>
      <c r="AH31" s="79"/>
      <c r="AI31" s="79"/>
      <c r="AJ31" s="78"/>
      <c r="AK31" s="78"/>
      <c r="AL31" s="78"/>
      <c r="AM31" s="78"/>
      <c r="AN31" s="79"/>
      <c r="AO31" s="79"/>
      <c r="AP31" s="79"/>
      <c r="AQ31" s="79"/>
      <c r="AR31" s="78"/>
      <c r="AS31" s="78"/>
      <c r="AT31" s="78"/>
      <c r="AU31" s="78"/>
      <c r="AV31" s="78"/>
      <c r="AW31" s="78"/>
      <c r="AX31" s="79"/>
      <c r="AY31" s="79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9"/>
      <c r="BK31" s="79"/>
      <c r="BL31" s="78"/>
      <c r="BM31" s="78"/>
      <c r="BN31" s="49">
        <f>BN32-$BN$5</f>
        <v>-112</v>
      </c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</row>
    <row r="32" spans="1:82" ht="15" thickBot="1">
      <c r="A32" s="47"/>
      <c r="B32" s="84"/>
      <c r="C32" s="95"/>
      <c r="D32" s="90">
        <f>(E30-D30)+(E31-D31)</f>
        <v>0</v>
      </c>
      <c r="E32" s="91"/>
      <c r="F32" s="90">
        <f t="shared" ref="F32" si="277">(G30-F30)+(G31-F31)</f>
        <v>0</v>
      </c>
      <c r="G32" s="91"/>
      <c r="H32" s="90">
        <f t="shared" ref="H32" si="278">(I30-H30)+(I31-H31)</f>
        <v>0</v>
      </c>
      <c r="I32" s="91"/>
      <c r="J32" s="90">
        <f t="shared" ref="J32" si="279">(K30-J30)+(K31-J31)</f>
        <v>0</v>
      </c>
      <c r="K32" s="91"/>
      <c r="L32" s="90">
        <f t="shared" ref="L32" si="280">(M30-L30)+(M31-L31)</f>
        <v>0</v>
      </c>
      <c r="M32" s="91"/>
      <c r="N32" s="90">
        <f t="shared" ref="N32" si="281">(O30-N30)+(O31-N31)</f>
        <v>0</v>
      </c>
      <c r="O32" s="91"/>
      <c r="P32" s="90">
        <f t="shared" ref="P32" si="282">(Q30-P30)+(Q31-P31)</f>
        <v>0</v>
      </c>
      <c r="Q32" s="91"/>
      <c r="R32" s="90">
        <f t="shared" ref="R32" si="283">(S30-R30)+(S31-R31)</f>
        <v>0</v>
      </c>
      <c r="S32" s="91"/>
      <c r="T32" s="90">
        <f t="shared" ref="T32" si="284">(U30-T30)+(U31-T31)</f>
        <v>0</v>
      </c>
      <c r="U32" s="91"/>
      <c r="V32" s="90">
        <f t="shared" ref="V32" si="285">(W30-V30)+(W31-V31)</f>
        <v>0</v>
      </c>
      <c r="W32" s="91"/>
      <c r="X32" s="90">
        <f t="shared" ref="X32" si="286">(Y30-X30)+(Y31-X31)</f>
        <v>0</v>
      </c>
      <c r="Y32" s="91"/>
      <c r="Z32" s="90">
        <f t="shared" ref="Z32" si="287">(AA30-Z30)+(AA31-Z31)</f>
        <v>0</v>
      </c>
      <c r="AA32" s="91"/>
      <c r="AB32" s="90">
        <f t="shared" ref="AB32" si="288">(AC30-AB30)+(AC31-AB31)</f>
        <v>0</v>
      </c>
      <c r="AC32" s="91"/>
      <c r="AD32" s="90">
        <f t="shared" ref="AD32" si="289">(AE30-AD30)+(AE31-AD31)</f>
        <v>0</v>
      </c>
      <c r="AE32" s="91"/>
      <c r="AF32" s="90">
        <f t="shared" ref="AF32" si="290">(AG30-AF30)+(AG31-AF31)</f>
        <v>0</v>
      </c>
      <c r="AG32" s="91"/>
      <c r="AH32" s="90">
        <f t="shared" ref="AH32" si="291">(AI30-AH30)+(AI31-AH31)</f>
        <v>0</v>
      </c>
      <c r="AI32" s="91"/>
      <c r="AJ32" s="90">
        <f t="shared" ref="AJ32" si="292">(AK30-AJ30)+(AK31-AJ31)</f>
        <v>0</v>
      </c>
      <c r="AK32" s="91"/>
      <c r="AL32" s="90">
        <f t="shared" ref="AL32" si="293">(AM30-AL30)+(AM31-AL31)</f>
        <v>0</v>
      </c>
      <c r="AM32" s="91"/>
      <c r="AN32" s="90">
        <f t="shared" ref="AN32" si="294">(AO30-AN30)+(AO31-AN31)</f>
        <v>0</v>
      </c>
      <c r="AO32" s="91"/>
      <c r="AP32" s="90">
        <f t="shared" ref="AP32" si="295">(AQ30-AP30)+(AQ31-AP31)</f>
        <v>0</v>
      </c>
      <c r="AQ32" s="91"/>
      <c r="AR32" s="90">
        <f t="shared" ref="AR32" si="296">(AS30-AR30)+(AS31-AR31)</f>
        <v>0</v>
      </c>
      <c r="AS32" s="91"/>
      <c r="AT32" s="90">
        <f t="shared" ref="AT32" si="297">(AU30-AT30)+(AU31-AT31)</f>
        <v>0</v>
      </c>
      <c r="AU32" s="91"/>
      <c r="AV32" s="90">
        <f t="shared" ref="AV32" si="298">(AW30-AV30)+(AW31-AV31)</f>
        <v>0</v>
      </c>
      <c r="AW32" s="91"/>
      <c r="AX32" s="90">
        <f t="shared" ref="AX32" si="299">(AY30-AX30)+(AY31-AX31)</f>
        <v>0</v>
      </c>
      <c r="AY32" s="91"/>
      <c r="AZ32" s="90">
        <f t="shared" ref="AZ32" si="300">(BA30-AZ30)+(BA31-AZ31)</f>
        <v>0</v>
      </c>
      <c r="BA32" s="91"/>
      <c r="BB32" s="90">
        <f t="shared" ref="BB32" si="301">(BC30-BB30)+(BC31-BB31)</f>
        <v>0</v>
      </c>
      <c r="BC32" s="91"/>
      <c r="BD32" s="90">
        <f t="shared" ref="BD32" si="302">(BE30-BD30)+(BE31-BD31)</f>
        <v>0</v>
      </c>
      <c r="BE32" s="91"/>
      <c r="BF32" s="90">
        <f t="shared" ref="BF32" si="303">(BG30-BF30)+(BG31-BF31)</f>
        <v>0</v>
      </c>
      <c r="BG32" s="91"/>
      <c r="BH32" s="90">
        <f t="shared" ref="BH32" si="304">(BI30-BH30)+(BI31-BH31)</f>
        <v>0</v>
      </c>
      <c r="BI32" s="91"/>
      <c r="BJ32" s="90">
        <f t="shared" ref="BJ32" si="305">(BK30-BJ30)+(BK31-BJ31)</f>
        <v>0</v>
      </c>
      <c r="BK32" s="91"/>
      <c r="BL32" s="90">
        <f t="shared" ref="BL32" si="306">(BM30-BL30)+(BM31-BL31)</f>
        <v>0</v>
      </c>
      <c r="BM32" s="92"/>
      <c r="BN32" s="50">
        <f>SUM(D32:BM32)</f>
        <v>0</v>
      </c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</row>
    <row r="33" spans="1:82" ht="15" thickBot="1">
      <c r="A33" s="83"/>
      <c r="B33" s="83"/>
      <c r="C33" s="93"/>
      <c r="D33" s="74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6"/>
      <c r="Q33" s="76"/>
      <c r="R33" s="75"/>
      <c r="S33" s="75"/>
      <c r="T33" s="75"/>
      <c r="U33" s="75"/>
      <c r="V33" s="75"/>
      <c r="W33" s="75"/>
      <c r="X33" s="75"/>
      <c r="Y33" s="75"/>
      <c r="Z33" s="76"/>
      <c r="AA33" s="76"/>
      <c r="AB33" s="76"/>
      <c r="AC33" s="76"/>
      <c r="AD33" s="75"/>
      <c r="AE33" s="75"/>
      <c r="AF33" s="76"/>
      <c r="AG33" s="76"/>
      <c r="AH33" s="76"/>
      <c r="AI33" s="76"/>
      <c r="AJ33" s="75"/>
      <c r="AK33" s="75"/>
      <c r="AL33" s="75"/>
      <c r="AM33" s="75"/>
      <c r="AN33" s="76"/>
      <c r="AO33" s="76"/>
      <c r="AP33" s="76"/>
      <c r="AQ33" s="76"/>
      <c r="AR33" s="75"/>
      <c r="AS33" s="75"/>
      <c r="AT33" s="75"/>
      <c r="AU33" s="75"/>
      <c r="AV33" s="75"/>
      <c r="AW33" s="75"/>
      <c r="AX33" s="76"/>
      <c r="AY33" s="76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6"/>
      <c r="BK33" s="76"/>
      <c r="BL33" s="75"/>
      <c r="BM33" s="75"/>
      <c r="BN33" s="48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</row>
    <row r="34" spans="1:82" ht="15" thickBot="1">
      <c r="A34" s="84"/>
      <c r="B34" s="86"/>
      <c r="C34" s="94"/>
      <c r="D34" s="77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9"/>
      <c r="Q34" s="79"/>
      <c r="R34" s="78"/>
      <c r="S34" s="78"/>
      <c r="T34" s="78"/>
      <c r="U34" s="78"/>
      <c r="V34" s="78"/>
      <c r="W34" s="78"/>
      <c r="X34" s="78"/>
      <c r="Y34" s="78"/>
      <c r="Z34" s="79"/>
      <c r="AA34" s="79"/>
      <c r="AB34" s="79"/>
      <c r="AC34" s="79"/>
      <c r="AD34" s="78"/>
      <c r="AE34" s="78"/>
      <c r="AF34" s="79"/>
      <c r="AG34" s="79"/>
      <c r="AH34" s="79"/>
      <c r="AI34" s="79"/>
      <c r="AJ34" s="78"/>
      <c r="AK34" s="78"/>
      <c r="AL34" s="78"/>
      <c r="AM34" s="78"/>
      <c r="AN34" s="79"/>
      <c r="AO34" s="79"/>
      <c r="AP34" s="79"/>
      <c r="AQ34" s="79"/>
      <c r="AR34" s="78"/>
      <c r="AS34" s="78"/>
      <c r="AT34" s="78"/>
      <c r="AU34" s="78"/>
      <c r="AV34" s="78"/>
      <c r="AW34" s="78"/>
      <c r="AX34" s="79"/>
      <c r="AY34" s="79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9"/>
      <c r="BK34" s="79"/>
      <c r="BL34" s="78"/>
      <c r="BM34" s="78"/>
      <c r="BN34" s="49">
        <f>BN35-$BN$5</f>
        <v>-112</v>
      </c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</row>
    <row r="35" spans="1:82" ht="15" thickBot="1">
      <c r="A35" s="47"/>
      <c r="B35" s="84"/>
      <c r="C35" s="95"/>
      <c r="D35" s="90">
        <f>(E33-D33)+(E34-D34)</f>
        <v>0</v>
      </c>
      <c r="E35" s="91"/>
      <c r="F35" s="90">
        <f t="shared" ref="F35" si="307">(G33-F33)+(G34-F34)</f>
        <v>0</v>
      </c>
      <c r="G35" s="91"/>
      <c r="H35" s="90">
        <f t="shared" ref="H35" si="308">(I33-H33)+(I34-H34)</f>
        <v>0</v>
      </c>
      <c r="I35" s="91"/>
      <c r="J35" s="90">
        <f t="shared" ref="J35" si="309">(K33-J33)+(K34-J34)</f>
        <v>0</v>
      </c>
      <c r="K35" s="91"/>
      <c r="L35" s="90">
        <f t="shared" ref="L35" si="310">(M33-L33)+(M34-L34)</f>
        <v>0</v>
      </c>
      <c r="M35" s="91"/>
      <c r="N35" s="90">
        <f t="shared" ref="N35" si="311">(O33-N33)+(O34-N34)</f>
        <v>0</v>
      </c>
      <c r="O35" s="91"/>
      <c r="P35" s="90">
        <f t="shared" ref="P35" si="312">(Q33-P33)+(Q34-P34)</f>
        <v>0</v>
      </c>
      <c r="Q35" s="91"/>
      <c r="R35" s="90">
        <f t="shared" ref="R35" si="313">(S33-R33)+(S34-R34)</f>
        <v>0</v>
      </c>
      <c r="S35" s="91"/>
      <c r="T35" s="90">
        <f t="shared" ref="T35" si="314">(U33-T33)+(U34-T34)</f>
        <v>0</v>
      </c>
      <c r="U35" s="91"/>
      <c r="V35" s="90">
        <f t="shared" ref="V35" si="315">(W33-V33)+(W34-V34)</f>
        <v>0</v>
      </c>
      <c r="W35" s="91"/>
      <c r="X35" s="90">
        <f t="shared" ref="X35" si="316">(Y33-X33)+(Y34-X34)</f>
        <v>0</v>
      </c>
      <c r="Y35" s="91"/>
      <c r="Z35" s="90">
        <f t="shared" ref="Z35" si="317">(AA33-Z33)+(AA34-Z34)</f>
        <v>0</v>
      </c>
      <c r="AA35" s="91"/>
      <c r="AB35" s="90">
        <f t="shared" ref="AB35" si="318">(AC33-AB33)+(AC34-AB34)</f>
        <v>0</v>
      </c>
      <c r="AC35" s="91"/>
      <c r="AD35" s="90">
        <f t="shared" ref="AD35" si="319">(AE33-AD33)+(AE34-AD34)</f>
        <v>0</v>
      </c>
      <c r="AE35" s="91"/>
      <c r="AF35" s="90">
        <f t="shared" ref="AF35" si="320">(AG33-AF33)+(AG34-AF34)</f>
        <v>0</v>
      </c>
      <c r="AG35" s="91"/>
      <c r="AH35" s="90">
        <f t="shared" ref="AH35" si="321">(AI33-AH33)+(AI34-AH34)</f>
        <v>0</v>
      </c>
      <c r="AI35" s="91"/>
      <c r="AJ35" s="90">
        <f t="shared" ref="AJ35" si="322">(AK33-AJ33)+(AK34-AJ34)</f>
        <v>0</v>
      </c>
      <c r="AK35" s="91"/>
      <c r="AL35" s="90">
        <f t="shared" ref="AL35" si="323">(AM33-AL33)+(AM34-AL34)</f>
        <v>0</v>
      </c>
      <c r="AM35" s="91"/>
      <c r="AN35" s="90">
        <f t="shared" ref="AN35" si="324">(AO33-AN33)+(AO34-AN34)</f>
        <v>0</v>
      </c>
      <c r="AO35" s="91"/>
      <c r="AP35" s="90">
        <f t="shared" ref="AP35" si="325">(AQ33-AP33)+(AQ34-AP34)</f>
        <v>0</v>
      </c>
      <c r="AQ35" s="91"/>
      <c r="AR35" s="90">
        <f t="shared" ref="AR35" si="326">(AS33-AR33)+(AS34-AR34)</f>
        <v>0</v>
      </c>
      <c r="AS35" s="91"/>
      <c r="AT35" s="90">
        <f t="shared" ref="AT35" si="327">(AU33-AT33)+(AU34-AT34)</f>
        <v>0</v>
      </c>
      <c r="AU35" s="91"/>
      <c r="AV35" s="90">
        <f t="shared" ref="AV35" si="328">(AW33-AV33)+(AW34-AV34)</f>
        <v>0</v>
      </c>
      <c r="AW35" s="91"/>
      <c r="AX35" s="90">
        <f t="shared" ref="AX35" si="329">(AY33-AX33)+(AY34-AX34)</f>
        <v>0</v>
      </c>
      <c r="AY35" s="91"/>
      <c r="AZ35" s="90">
        <f t="shared" ref="AZ35" si="330">(BA33-AZ33)+(BA34-AZ34)</f>
        <v>0</v>
      </c>
      <c r="BA35" s="91"/>
      <c r="BB35" s="90">
        <f t="shared" ref="BB35" si="331">(BC33-BB33)+(BC34-BB34)</f>
        <v>0</v>
      </c>
      <c r="BC35" s="91"/>
      <c r="BD35" s="90">
        <f t="shared" ref="BD35" si="332">(BE33-BD33)+(BE34-BD34)</f>
        <v>0</v>
      </c>
      <c r="BE35" s="91"/>
      <c r="BF35" s="90">
        <f t="shared" ref="BF35" si="333">(BG33-BF33)+(BG34-BF34)</f>
        <v>0</v>
      </c>
      <c r="BG35" s="91"/>
      <c r="BH35" s="90">
        <f t="shared" ref="BH35" si="334">(BI33-BH33)+(BI34-BH34)</f>
        <v>0</v>
      </c>
      <c r="BI35" s="91"/>
      <c r="BJ35" s="90">
        <f t="shared" ref="BJ35" si="335">(BK33-BJ33)+(BK34-BJ34)</f>
        <v>0</v>
      </c>
      <c r="BK35" s="91"/>
      <c r="BL35" s="90">
        <f t="shared" ref="BL35" si="336">(BM33-BL33)+(BM34-BL34)</f>
        <v>0</v>
      </c>
      <c r="BM35" s="92"/>
      <c r="BN35" s="50">
        <f>SUM(D35:BM35)</f>
        <v>0</v>
      </c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</row>
    <row r="36" spans="1:82" ht="15" thickBot="1">
      <c r="A36" s="83"/>
      <c r="B36" s="83"/>
      <c r="C36" s="93"/>
      <c r="D36" s="74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6"/>
      <c r="Q36" s="76"/>
      <c r="R36" s="75"/>
      <c r="S36" s="75"/>
      <c r="T36" s="75"/>
      <c r="U36" s="75"/>
      <c r="V36" s="75"/>
      <c r="W36" s="75"/>
      <c r="X36" s="75"/>
      <c r="Y36" s="75"/>
      <c r="Z36" s="76"/>
      <c r="AA36" s="76"/>
      <c r="AB36" s="76"/>
      <c r="AC36" s="76"/>
      <c r="AD36" s="75"/>
      <c r="AE36" s="75"/>
      <c r="AF36" s="76"/>
      <c r="AG36" s="76"/>
      <c r="AH36" s="76"/>
      <c r="AI36" s="76"/>
      <c r="AJ36" s="75"/>
      <c r="AK36" s="75"/>
      <c r="AL36" s="75"/>
      <c r="AM36" s="75"/>
      <c r="AN36" s="76"/>
      <c r="AO36" s="76"/>
      <c r="AP36" s="76"/>
      <c r="AQ36" s="76"/>
      <c r="AR36" s="75"/>
      <c r="AS36" s="75"/>
      <c r="AT36" s="75"/>
      <c r="AU36" s="75"/>
      <c r="AV36" s="75"/>
      <c r="AW36" s="75"/>
      <c r="AX36" s="76"/>
      <c r="AY36" s="76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6"/>
      <c r="BK36" s="76"/>
      <c r="BL36" s="75"/>
      <c r="BM36" s="75"/>
      <c r="BN36" s="48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</row>
    <row r="37" spans="1:82" ht="15" thickBot="1">
      <c r="A37" s="84"/>
      <c r="B37" s="86"/>
      <c r="C37" s="94"/>
      <c r="D37" s="77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9"/>
      <c r="Q37" s="79"/>
      <c r="R37" s="78"/>
      <c r="S37" s="78"/>
      <c r="T37" s="78"/>
      <c r="U37" s="78"/>
      <c r="V37" s="78"/>
      <c r="W37" s="78"/>
      <c r="X37" s="78"/>
      <c r="Y37" s="78"/>
      <c r="Z37" s="79"/>
      <c r="AA37" s="79"/>
      <c r="AB37" s="79"/>
      <c r="AC37" s="79"/>
      <c r="AD37" s="78"/>
      <c r="AE37" s="78"/>
      <c r="AF37" s="79"/>
      <c r="AG37" s="79"/>
      <c r="AH37" s="79"/>
      <c r="AI37" s="79"/>
      <c r="AJ37" s="78"/>
      <c r="AK37" s="78"/>
      <c r="AL37" s="78"/>
      <c r="AM37" s="78"/>
      <c r="AN37" s="79"/>
      <c r="AO37" s="79"/>
      <c r="AP37" s="79"/>
      <c r="AQ37" s="79"/>
      <c r="AR37" s="78"/>
      <c r="AS37" s="78"/>
      <c r="AT37" s="78"/>
      <c r="AU37" s="78"/>
      <c r="AV37" s="78"/>
      <c r="AW37" s="78"/>
      <c r="AX37" s="79"/>
      <c r="AY37" s="79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/>
      <c r="BK37" s="79"/>
      <c r="BL37" s="78"/>
      <c r="BM37" s="78"/>
      <c r="BN37" s="49">
        <f>BN38-$BN$5</f>
        <v>-112</v>
      </c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</row>
    <row r="38" spans="1:82" ht="15" thickBot="1">
      <c r="A38" s="47"/>
      <c r="B38" s="84"/>
      <c r="C38" s="95"/>
      <c r="D38" s="90">
        <f>(E36-D36)+(E37-D37)</f>
        <v>0</v>
      </c>
      <c r="E38" s="91"/>
      <c r="F38" s="90">
        <f t="shared" ref="F38" si="337">(G36-F36)+(G37-F37)</f>
        <v>0</v>
      </c>
      <c r="G38" s="91"/>
      <c r="H38" s="90">
        <f t="shared" ref="H38" si="338">(I36-H36)+(I37-H37)</f>
        <v>0</v>
      </c>
      <c r="I38" s="91"/>
      <c r="J38" s="90">
        <f t="shared" ref="J38" si="339">(K36-J36)+(K37-J37)</f>
        <v>0</v>
      </c>
      <c r="K38" s="91"/>
      <c r="L38" s="90">
        <f t="shared" ref="L38" si="340">(M36-L36)+(M37-L37)</f>
        <v>0</v>
      </c>
      <c r="M38" s="91"/>
      <c r="N38" s="90">
        <f t="shared" ref="N38" si="341">(O36-N36)+(O37-N37)</f>
        <v>0</v>
      </c>
      <c r="O38" s="91"/>
      <c r="P38" s="90">
        <f t="shared" ref="P38" si="342">(Q36-P36)+(Q37-P37)</f>
        <v>0</v>
      </c>
      <c r="Q38" s="91"/>
      <c r="R38" s="90">
        <f t="shared" ref="R38" si="343">(S36-R36)+(S37-R37)</f>
        <v>0</v>
      </c>
      <c r="S38" s="91"/>
      <c r="T38" s="90">
        <f t="shared" ref="T38" si="344">(U36-T36)+(U37-T37)</f>
        <v>0</v>
      </c>
      <c r="U38" s="91"/>
      <c r="V38" s="90">
        <f t="shared" ref="V38" si="345">(W36-V36)+(W37-V37)</f>
        <v>0</v>
      </c>
      <c r="W38" s="91"/>
      <c r="X38" s="90">
        <f t="shared" ref="X38" si="346">(Y36-X36)+(Y37-X37)</f>
        <v>0</v>
      </c>
      <c r="Y38" s="91"/>
      <c r="Z38" s="90">
        <f t="shared" ref="Z38" si="347">(AA36-Z36)+(AA37-Z37)</f>
        <v>0</v>
      </c>
      <c r="AA38" s="91"/>
      <c r="AB38" s="90">
        <f t="shared" ref="AB38" si="348">(AC36-AB36)+(AC37-AB37)</f>
        <v>0</v>
      </c>
      <c r="AC38" s="91"/>
      <c r="AD38" s="90">
        <f t="shared" ref="AD38" si="349">(AE36-AD36)+(AE37-AD37)</f>
        <v>0</v>
      </c>
      <c r="AE38" s="91"/>
      <c r="AF38" s="90">
        <f t="shared" ref="AF38" si="350">(AG36-AF36)+(AG37-AF37)</f>
        <v>0</v>
      </c>
      <c r="AG38" s="91"/>
      <c r="AH38" s="90">
        <f t="shared" ref="AH38" si="351">(AI36-AH36)+(AI37-AH37)</f>
        <v>0</v>
      </c>
      <c r="AI38" s="91"/>
      <c r="AJ38" s="90">
        <f t="shared" ref="AJ38" si="352">(AK36-AJ36)+(AK37-AJ37)</f>
        <v>0</v>
      </c>
      <c r="AK38" s="91"/>
      <c r="AL38" s="90">
        <f t="shared" ref="AL38" si="353">(AM36-AL36)+(AM37-AL37)</f>
        <v>0</v>
      </c>
      <c r="AM38" s="91"/>
      <c r="AN38" s="90">
        <f t="shared" ref="AN38" si="354">(AO36-AN36)+(AO37-AN37)</f>
        <v>0</v>
      </c>
      <c r="AO38" s="91"/>
      <c r="AP38" s="90">
        <f t="shared" ref="AP38" si="355">(AQ36-AP36)+(AQ37-AP37)</f>
        <v>0</v>
      </c>
      <c r="AQ38" s="91"/>
      <c r="AR38" s="90">
        <f t="shared" ref="AR38" si="356">(AS36-AR36)+(AS37-AR37)</f>
        <v>0</v>
      </c>
      <c r="AS38" s="91"/>
      <c r="AT38" s="90">
        <f t="shared" ref="AT38" si="357">(AU36-AT36)+(AU37-AT37)</f>
        <v>0</v>
      </c>
      <c r="AU38" s="91"/>
      <c r="AV38" s="90">
        <f t="shared" ref="AV38" si="358">(AW36-AV36)+(AW37-AV37)</f>
        <v>0</v>
      </c>
      <c r="AW38" s="91"/>
      <c r="AX38" s="90">
        <f t="shared" ref="AX38" si="359">(AY36-AX36)+(AY37-AX37)</f>
        <v>0</v>
      </c>
      <c r="AY38" s="91"/>
      <c r="AZ38" s="90">
        <f t="shared" ref="AZ38" si="360">(BA36-AZ36)+(BA37-AZ37)</f>
        <v>0</v>
      </c>
      <c r="BA38" s="91"/>
      <c r="BB38" s="90">
        <f t="shared" ref="BB38" si="361">(BC36-BB36)+(BC37-BB37)</f>
        <v>0</v>
      </c>
      <c r="BC38" s="91"/>
      <c r="BD38" s="90">
        <f t="shared" ref="BD38" si="362">(BE36-BD36)+(BE37-BD37)</f>
        <v>0</v>
      </c>
      <c r="BE38" s="91"/>
      <c r="BF38" s="90">
        <f t="shared" ref="BF38" si="363">(BG36-BF36)+(BG37-BF37)</f>
        <v>0</v>
      </c>
      <c r="BG38" s="91"/>
      <c r="BH38" s="90">
        <f t="shared" ref="BH38" si="364">(BI36-BH36)+(BI37-BH37)</f>
        <v>0</v>
      </c>
      <c r="BI38" s="91"/>
      <c r="BJ38" s="90">
        <f t="shared" ref="BJ38" si="365">(BK36-BJ36)+(BK37-BJ37)</f>
        <v>0</v>
      </c>
      <c r="BK38" s="91"/>
      <c r="BL38" s="90">
        <f t="shared" ref="BL38" si="366">(BM36-BL36)+(BM37-BL37)</f>
        <v>0</v>
      </c>
      <c r="BM38" s="92"/>
      <c r="BN38" s="50">
        <f>SUM(D38:BM38)</f>
        <v>0</v>
      </c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</row>
    <row r="39" spans="1:82" ht="15" thickBot="1">
      <c r="A39" s="83"/>
      <c r="B39" s="85"/>
      <c r="C39" s="62"/>
      <c r="D39" s="74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6"/>
      <c r="Q39" s="76"/>
      <c r="R39" s="75"/>
      <c r="S39" s="75"/>
      <c r="T39" s="75"/>
      <c r="U39" s="75"/>
      <c r="V39" s="75"/>
      <c r="W39" s="75"/>
      <c r="X39" s="75"/>
      <c r="Y39" s="75"/>
      <c r="Z39" s="76"/>
      <c r="AA39" s="76"/>
      <c r="AB39" s="76"/>
      <c r="AC39" s="76"/>
      <c r="AD39" s="75"/>
      <c r="AE39" s="75"/>
      <c r="AF39" s="76"/>
      <c r="AG39" s="76"/>
      <c r="AH39" s="76"/>
      <c r="AI39" s="76"/>
      <c r="AJ39" s="75"/>
      <c r="AK39" s="75"/>
      <c r="AL39" s="75"/>
      <c r="AM39" s="75"/>
      <c r="AN39" s="76"/>
      <c r="AO39" s="76"/>
      <c r="AP39" s="76"/>
      <c r="AQ39" s="76"/>
      <c r="AR39" s="75"/>
      <c r="AS39" s="75"/>
      <c r="AT39" s="75"/>
      <c r="AU39" s="75"/>
      <c r="AV39" s="75"/>
      <c r="AW39" s="75"/>
      <c r="AX39" s="76"/>
      <c r="AY39" s="76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6"/>
      <c r="BK39" s="76"/>
      <c r="BL39" s="75"/>
      <c r="BM39" s="75"/>
      <c r="BN39" s="48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</row>
    <row r="40" spans="1:82" ht="15" thickBot="1">
      <c r="A40" s="84"/>
      <c r="B40" s="86"/>
      <c r="C40" s="62"/>
      <c r="D40" s="77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9"/>
      <c r="Q40" s="79"/>
      <c r="R40" s="78"/>
      <c r="S40" s="78"/>
      <c r="T40" s="78"/>
      <c r="U40" s="78"/>
      <c r="V40" s="78"/>
      <c r="W40" s="78"/>
      <c r="X40" s="78"/>
      <c r="Y40" s="78"/>
      <c r="Z40" s="79"/>
      <c r="AA40" s="79"/>
      <c r="AB40" s="79"/>
      <c r="AC40" s="79"/>
      <c r="AD40" s="78"/>
      <c r="AE40" s="78"/>
      <c r="AF40" s="79"/>
      <c r="AG40" s="79"/>
      <c r="AH40" s="79"/>
      <c r="AI40" s="79"/>
      <c r="AJ40" s="78"/>
      <c r="AK40" s="78"/>
      <c r="AL40" s="78"/>
      <c r="AM40" s="78"/>
      <c r="AN40" s="79"/>
      <c r="AO40" s="79"/>
      <c r="AP40" s="79"/>
      <c r="AQ40" s="79"/>
      <c r="AR40" s="78"/>
      <c r="AS40" s="78"/>
      <c r="AT40" s="78"/>
      <c r="AU40" s="78"/>
      <c r="AV40" s="78"/>
      <c r="AW40" s="78"/>
      <c r="AX40" s="79"/>
      <c r="AY40" s="79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9"/>
      <c r="BK40" s="79"/>
      <c r="BL40" s="78"/>
      <c r="BM40" s="78"/>
      <c r="BN40" s="49">
        <f>BN41-$BN$5</f>
        <v>-112</v>
      </c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</row>
    <row r="41" spans="1:82" ht="15" thickBot="1">
      <c r="A41" s="47"/>
      <c r="B41" s="84"/>
      <c r="C41" s="62"/>
      <c r="D41" s="80">
        <f>(E39-D39)+(E40-D40)</f>
        <v>0</v>
      </c>
      <c r="E41" s="81"/>
      <c r="F41" s="80">
        <f t="shared" ref="F41" si="367">(G39-F39)+(G40-F40)</f>
        <v>0</v>
      </c>
      <c r="G41" s="81"/>
      <c r="H41" s="80">
        <f t="shared" ref="H41" si="368">(I39-H39)+(I40-H40)</f>
        <v>0</v>
      </c>
      <c r="I41" s="81"/>
      <c r="J41" s="80">
        <f t="shared" ref="J41" si="369">(K39-J39)+(K40-J40)</f>
        <v>0</v>
      </c>
      <c r="K41" s="81"/>
      <c r="L41" s="80">
        <f t="shared" ref="L41" si="370">(M39-L39)+(M40-L40)</f>
        <v>0</v>
      </c>
      <c r="M41" s="81"/>
      <c r="N41" s="80">
        <f t="shared" ref="N41" si="371">(O39-N39)+(O40-N40)</f>
        <v>0</v>
      </c>
      <c r="O41" s="81"/>
      <c r="P41" s="80">
        <f t="shared" ref="P41" si="372">(Q39-P39)+(Q40-P40)</f>
        <v>0</v>
      </c>
      <c r="Q41" s="81"/>
      <c r="R41" s="80">
        <f t="shared" ref="R41" si="373">(S39-R39)+(S40-R40)</f>
        <v>0</v>
      </c>
      <c r="S41" s="81"/>
      <c r="T41" s="80">
        <f t="shared" ref="T41" si="374">(U39-T39)+(U40-T40)</f>
        <v>0</v>
      </c>
      <c r="U41" s="81"/>
      <c r="V41" s="80">
        <f t="shared" ref="V41" si="375">(W39-V39)+(W40-V40)</f>
        <v>0</v>
      </c>
      <c r="W41" s="81"/>
      <c r="X41" s="80">
        <f t="shared" ref="X41" si="376">(Y39-X39)+(Y40-X40)</f>
        <v>0</v>
      </c>
      <c r="Y41" s="81"/>
      <c r="Z41" s="80">
        <f t="shared" ref="Z41" si="377">(AA39-Z39)+(AA40-Z40)</f>
        <v>0</v>
      </c>
      <c r="AA41" s="81"/>
      <c r="AB41" s="80">
        <f t="shared" ref="AB41" si="378">(AC39-AB39)+(AC40-AB40)</f>
        <v>0</v>
      </c>
      <c r="AC41" s="81"/>
      <c r="AD41" s="80">
        <f t="shared" ref="AD41" si="379">(AE39-AD39)+(AE40-AD40)</f>
        <v>0</v>
      </c>
      <c r="AE41" s="81"/>
      <c r="AF41" s="80">
        <f t="shared" ref="AF41" si="380">(AG39-AF39)+(AG40-AF40)</f>
        <v>0</v>
      </c>
      <c r="AG41" s="81"/>
      <c r="AH41" s="80">
        <f t="shared" ref="AH41" si="381">(AI39-AH39)+(AI40-AH40)</f>
        <v>0</v>
      </c>
      <c r="AI41" s="81"/>
      <c r="AJ41" s="80">
        <f t="shared" ref="AJ41" si="382">(AK39-AJ39)+(AK40-AJ40)</f>
        <v>0</v>
      </c>
      <c r="AK41" s="81"/>
      <c r="AL41" s="80">
        <f t="shared" ref="AL41" si="383">(AM39-AL39)+(AM40-AL40)</f>
        <v>0</v>
      </c>
      <c r="AM41" s="81"/>
      <c r="AN41" s="80">
        <f t="shared" ref="AN41" si="384">(AO39-AN39)+(AO40-AN40)</f>
        <v>0</v>
      </c>
      <c r="AO41" s="81"/>
      <c r="AP41" s="80">
        <f t="shared" ref="AP41" si="385">(AQ39-AP39)+(AQ40-AP40)</f>
        <v>0</v>
      </c>
      <c r="AQ41" s="81"/>
      <c r="AR41" s="80">
        <f t="shared" ref="AR41" si="386">(AS39-AR39)+(AS40-AR40)</f>
        <v>0</v>
      </c>
      <c r="AS41" s="81"/>
      <c r="AT41" s="80">
        <f t="shared" ref="AT41" si="387">(AU39-AT39)+(AU40-AT40)</f>
        <v>0</v>
      </c>
      <c r="AU41" s="81"/>
      <c r="AV41" s="80">
        <f t="shared" ref="AV41" si="388">(AW39-AV39)+(AW40-AV40)</f>
        <v>0</v>
      </c>
      <c r="AW41" s="81"/>
      <c r="AX41" s="80">
        <f t="shared" ref="AX41" si="389">(AY39-AX39)+(AY40-AX40)</f>
        <v>0</v>
      </c>
      <c r="AY41" s="81"/>
      <c r="AZ41" s="80">
        <f t="shared" ref="AZ41" si="390">(BA39-AZ39)+(BA40-AZ40)</f>
        <v>0</v>
      </c>
      <c r="BA41" s="81"/>
      <c r="BB41" s="80">
        <f t="shared" ref="BB41" si="391">(BC39-BB39)+(BC40-BB40)</f>
        <v>0</v>
      </c>
      <c r="BC41" s="81"/>
      <c r="BD41" s="80">
        <f t="shared" ref="BD41" si="392">(BE39-BD39)+(BE40-BD40)</f>
        <v>0</v>
      </c>
      <c r="BE41" s="81"/>
      <c r="BF41" s="80">
        <f t="shared" ref="BF41" si="393">(BG39-BF39)+(BG40-BF40)</f>
        <v>0</v>
      </c>
      <c r="BG41" s="81"/>
      <c r="BH41" s="80">
        <f t="shared" ref="BH41" si="394">(BI39-BH39)+(BI40-BH40)</f>
        <v>0</v>
      </c>
      <c r="BI41" s="81"/>
      <c r="BJ41" s="80">
        <f t="shared" ref="BJ41" si="395">(BK39-BJ39)+(BK40-BJ40)</f>
        <v>0</v>
      </c>
      <c r="BK41" s="81"/>
      <c r="BL41" s="80">
        <f t="shared" ref="BL41" si="396">(BM39-BL39)+(BM40-BL40)</f>
        <v>0</v>
      </c>
      <c r="BM41" s="82"/>
      <c r="BN41" s="50">
        <f>SUM(D41:BM41)</f>
        <v>0</v>
      </c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</row>
    <row r="42" spans="1:82" ht="15" thickBot="1">
      <c r="A42" s="85"/>
      <c r="B42" s="85" t="s">
        <v>115</v>
      </c>
      <c r="C42" s="93"/>
      <c r="D42" s="74">
        <v>9</v>
      </c>
      <c r="E42" s="75">
        <v>13</v>
      </c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6"/>
      <c r="Q42" s="76"/>
      <c r="R42" s="75"/>
      <c r="S42" s="75"/>
      <c r="T42" s="75"/>
      <c r="U42" s="75"/>
      <c r="V42" s="75"/>
      <c r="W42" s="75"/>
      <c r="X42" s="75"/>
      <c r="Y42" s="75"/>
      <c r="Z42" s="76"/>
      <c r="AA42" s="76"/>
      <c r="AB42" s="76"/>
      <c r="AC42" s="76"/>
      <c r="AD42" s="75"/>
      <c r="AE42" s="75"/>
      <c r="AF42" s="76"/>
      <c r="AG42" s="76"/>
      <c r="AH42" s="76"/>
      <c r="AI42" s="76"/>
      <c r="AJ42" s="75"/>
      <c r="AK42" s="75"/>
      <c r="AL42" s="75"/>
      <c r="AM42" s="75"/>
      <c r="AN42" s="76"/>
      <c r="AO42" s="76"/>
      <c r="AP42" s="76"/>
      <c r="AQ42" s="76"/>
      <c r="AR42" s="75"/>
      <c r="AS42" s="75"/>
      <c r="AT42" s="75"/>
      <c r="AU42" s="75"/>
      <c r="AV42" s="75"/>
      <c r="AW42" s="75"/>
      <c r="AX42" s="76"/>
      <c r="AY42" s="76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6"/>
      <c r="BK42" s="76"/>
      <c r="BL42" s="75"/>
      <c r="BM42" s="75"/>
      <c r="BN42" s="48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</row>
    <row r="43" spans="1:82" ht="15" thickBot="1">
      <c r="A43" s="84"/>
      <c r="B43" s="86"/>
      <c r="C43" s="94"/>
      <c r="D43" s="77">
        <v>14</v>
      </c>
      <c r="E43" s="78">
        <v>18</v>
      </c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9"/>
      <c r="Q43" s="79"/>
      <c r="R43" s="78"/>
      <c r="S43" s="78"/>
      <c r="T43" s="78"/>
      <c r="U43" s="78"/>
      <c r="V43" s="78"/>
      <c r="W43" s="78"/>
      <c r="X43" s="78"/>
      <c r="Y43" s="78"/>
      <c r="Z43" s="79"/>
      <c r="AA43" s="79"/>
      <c r="AB43" s="79"/>
      <c r="AC43" s="79"/>
      <c r="AD43" s="78"/>
      <c r="AE43" s="78"/>
      <c r="AF43" s="79"/>
      <c r="AG43" s="79"/>
      <c r="AH43" s="79"/>
      <c r="AI43" s="79"/>
      <c r="AJ43" s="78"/>
      <c r="AK43" s="78"/>
      <c r="AL43" s="78"/>
      <c r="AM43" s="78"/>
      <c r="AN43" s="79"/>
      <c r="AO43" s="79"/>
      <c r="AP43" s="79"/>
      <c r="AQ43" s="79"/>
      <c r="AR43" s="78"/>
      <c r="AS43" s="78"/>
      <c r="AT43" s="78"/>
      <c r="AU43" s="78"/>
      <c r="AV43" s="78"/>
      <c r="AW43" s="78"/>
      <c r="AX43" s="79"/>
      <c r="AY43" s="79"/>
      <c r="AZ43" s="78"/>
      <c r="BA43" s="78"/>
      <c r="BB43" s="78"/>
      <c r="BC43" s="78"/>
      <c r="BD43" s="78"/>
      <c r="BE43" s="78"/>
      <c r="BF43" s="78"/>
      <c r="BG43" s="78"/>
      <c r="BH43" s="78"/>
      <c r="BI43" s="78"/>
      <c r="BJ43" s="79"/>
      <c r="BK43" s="79"/>
      <c r="BL43" s="78"/>
      <c r="BM43" s="78"/>
      <c r="BN43" s="49">
        <f>BN44-$BN$5</f>
        <v>-104</v>
      </c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</row>
    <row r="44" spans="1:82" ht="15" thickBot="1">
      <c r="A44" s="47"/>
      <c r="B44" s="84"/>
      <c r="C44" s="95"/>
      <c r="D44" s="80">
        <f>(E42-D42)+(E43-D43)</f>
        <v>8</v>
      </c>
      <c r="E44" s="81"/>
      <c r="F44" s="80">
        <f t="shared" ref="F44" si="397">(G42-F42)+(G43-F43)</f>
        <v>0</v>
      </c>
      <c r="G44" s="81"/>
      <c r="H44" s="80">
        <f t="shared" ref="H44" si="398">(I42-H42)+(I43-H43)</f>
        <v>0</v>
      </c>
      <c r="I44" s="81"/>
      <c r="J44" s="80">
        <f t="shared" ref="J44" si="399">(K42-J42)+(K43-J43)</f>
        <v>0</v>
      </c>
      <c r="K44" s="81"/>
      <c r="L44" s="80">
        <f t="shared" ref="L44" si="400">(M42-L42)+(M43-L43)</f>
        <v>0</v>
      </c>
      <c r="M44" s="81"/>
      <c r="N44" s="80">
        <f t="shared" ref="N44" si="401">(O42-N42)+(O43-N43)</f>
        <v>0</v>
      </c>
      <c r="O44" s="81"/>
      <c r="P44" s="80">
        <f t="shared" ref="P44" si="402">(Q42-P42)+(Q43-P43)</f>
        <v>0</v>
      </c>
      <c r="Q44" s="81"/>
      <c r="R44" s="80">
        <f t="shared" ref="R44" si="403">(S42-R42)+(S43-R43)</f>
        <v>0</v>
      </c>
      <c r="S44" s="81"/>
      <c r="T44" s="80">
        <f t="shared" ref="T44" si="404">(U42-T42)+(U43-T43)</f>
        <v>0</v>
      </c>
      <c r="U44" s="81"/>
      <c r="V44" s="80">
        <f t="shared" ref="V44" si="405">(W42-V42)+(W43-V43)</f>
        <v>0</v>
      </c>
      <c r="W44" s="81"/>
      <c r="X44" s="80">
        <f t="shared" ref="X44" si="406">(Y42-X42)+(Y43-X43)</f>
        <v>0</v>
      </c>
      <c r="Y44" s="81"/>
      <c r="Z44" s="80">
        <f t="shared" ref="Z44" si="407">(AA42-Z42)+(AA43-Z43)</f>
        <v>0</v>
      </c>
      <c r="AA44" s="81"/>
      <c r="AB44" s="80">
        <f t="shared" ref="AB44" si="408">(AC42-AB42)+(AC43-AB43)</f>
        <v>0</v>
      </c>
      <c r="AC44" s="81"/>
      <c r="AD44" s="80">
        <f t="shared" ref="AD44" si="409">(AE42-AD42)+(AE43-AD43)</f>
        <v>0</v>
      </c>
      <c r="AE44" s="81"/>
      <c r="AF44" s="80">
        <f t="shared" ref="AF44" si="410">(AG42-AF42)+(AG43-AF43)</f>
        <v>0</v>
      </c>
      <c r="AG44" s="81"/>
      <c r="AH44" s="80">
        <f t="shared" ref="AH44" si="411">(AI42-AH42)+(AI43-AH43)</f>
        <v>0</v>
      </c>
      <c r="AI44" s="81"/>
      <c r="AJ44" s="80">
        <f t="shared" ref="AJ44" si="412">(AK42-AJ42)+(AK43-AJ43)</f>
        <v>0</v>
      </c>
      <c r="AK44" s="81"/>
      <c r="AL44" s="80">
        <f t="shared" ref="AL44" si="413">(AM42-AL42)+(AM43-AL43)</f>
        <v>0</v>
      </c>
      <c r="AM44" s="81"/>
      <c r="AN44" s="80">
        <f t="shared" ref="AN44" si="414">(AO42-AN42)+(AO43-AN43)</f>
        <v>0</v>
      </c>
      <c r="AO44" s="81"/>
      <c r="AP44" s="80">
        <f t="shared" ref="AP44" si="415">(AQ42-AP42)+(AQ43-AP43)</f>
        <v>0</v>
      </c>
      <c r="AQ44" s="81"/>
      <c r="AR44" s="80">
        <f t="shared" ref="AR44" si="416">(AS42-AR42)+(AS43-AR43)</f>
        <v>0</v>
      </c>
      <c r="AS44" s="81"/>
      <c r="AT44" s="80">
        <f t="shared" ref="AT44" si="417">(AU42-AT42)+(AU43-AT43)</f>
        <v>0</v>
      </c>
      <c r="AU44" s="81"/>
      <c r="AV44" s="80">
        <f t="shared" ref="AV44" si="418">(AW42-AV42)+(AW43-AV43)</f>
        <v>0</v>
      </c>
      <c r="AW44" s="81"/>
      <c r="AX44" s="80">
        <f t="shared" ref="AX44" si="419">(AY42-AX42)+(AY43-AX43)</f>
        <v>0</v>
      </c>
      <c r="AY44" s="81"/>
      <c r="AZ44" s="80">
        <f t="shared" ref="AZ44" si="420">(BA42-AZ42)+(BA43-AZ43)</f>
        <v>0</v>
      </c>
      <c r="BA44" s="81"/>
      <c r="BB44" s="80">
        <f t="shared" ref="BB44" si="421">(BC42-BB42)+(BC43-BB43)</f>
        <v>0</v>
      </c>
      <c r="BC44" s="81"/>
      <c r="BD44" s="80">
        <f t="shared" ref="BD44" si="422">(BE42-BD42)+(BE43-BD43)</f>
        <v>0</v>
      </c>
      <c r="BE44" s="81"/>
      <c r="BF44" s="80">
        <f t="shared" ref="BF44" si="423">(BG42-BF42)+(BG43-BF43)</f>
        <v>0</v>
      </c>
      <c r="BG44" s="81"/>
      <c r="BH44" s="80">
        <f t="shared" ref="BH44" si="424">(BI42-BH42)+(BI43-BH43)</f>
        <v>0</v>
      </c>
      <c r="BI44" s="81"/>
      <c r="BJ44" s="80">
        <f t="shared" ref="BJ44" si="425">(BK42-BJ42)+(BK43-BJ43)</f>
        <v>0</v>
      </c>
      <c r="BK44" s="81"/>
      <c r="BL44" s="80">
        <f t="shared" ref="BL44" si="426">(BM42-BL42)+(BM43-BL43)</f>
        <v>0</v>
      </c>
      <c r="BM44" s="82"/>
      <c r="BN44" s="50">
        <f>SUM(D44:BM44)</f>
        <v>8</v>
      </c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</row>
    <row r="45" spans="1:82" ht="15" thickBot="1">
      <c r="A45" s="101" t="s">
        <v>95</v>
      </c>
      <c r="B45" s="102"/>
      <c r="C45" s="103"/>
      <c r="D45" s="99">
        <f>COUNTIF(D6:D44,"12")+COUNTIF(D6:D44,"10")+COUNTIF(D6:D44,"11")+COUNTIF(D6:D44,"11.5")+COUNTIF(D6:D44,"10.5")</f>
        <v>0</v>
      </c>
      <c r="E45" s="100"/>
      <c r="F45" s="99">
        <f>COUNTIF(F6:F44,"12")+COUNTIF(F6:F44,"10")+COUNTIF(F6:F44,"11")+COUNTIF(F6:F44,"11.5")+COUNTIF(F6:F44,"10.5")</f>
        <v>0</v>
      </c>
      <c r="G45" s="100"/>
      <c r="H45" s="99">
        <f t="shared" ref="H45" si="427">COUNTIF(H6:H44,"12")+COUNTIF(H6:H44,"10")+COUNTIF(H6:H44,"11")+COUNTIF(H6:H44,"11.5")+COUNTIF(H6:H44,"10.5")</f>
        <v>0</v>
      </c>
      <c r="I45" s="100"/>
      <c r="J45" s="99">
        <f t="shared" ref="J45" si="428">COUNTIF(J6:J44,"12")+COUNTIF(J6:J44,"10")+COUNTIF(J6:J44,"11")+COUNTIF(J6:J44,"11.5")+COUNTIF(J6:J44,"10.5")</f>
        <v>0</v>
      </c>
      <c r="K45" s="100"/>
      <c r="L45" s="99">
        <f t="shared" ref="L45" si="429">COUNTIF(L6:L44,"12")+COUNTIF(L6:L44,"10")+COUNTIF(L6:L44,"11")+COUNTIF(L6:L44,"11.5")+COUNTIF(L6:L44,"10.5")</f>
        <v>0</v>
      </c>
      <c r="M45" s="100"/>
      <c r="N45" s="99">
        <f t="shared" ref="N45" si="430">COUNTIF(N6:N44,"12")+COUNTIF(N6:N44,"10")+COUNTIF(N6:N44,"11")+COUNTIF(N6:N44,"11.5")+COUNTIF(N6:N44,"10.5")</f>
        <v>0</v>
      </c>
      <c r="O45" s="100"/>
      <c r="P45" s="99">
        <f t="shared" ref="P45" si="431">COUNTIF(P6:P44,"12")+COUNTIF(P6:P44,"10")+COUNTIF(P6:P44,"11")+COUNTIF(P6:P44,"11.5")+COUNTIF(P6:P44,"10.5")</f>
        <v>0</v>
      </c>
      <c r="Q45" s="100"/>
      <c r="R45" s="99">
        <f t="shared" ref="R45" si="432">COUNTIF(R6:R44,"12")+COUNTIF(R6:R44,"10")+COUNTIF(R6:R44,"11")+COUNTIF(R6:R44,"11.5")+COUNTIF(R6:R44,"10.5")</f>
        <v>0</v>
      </c>
      <c r="S45" s="100"/>
      <c r="T45" s="99">
        <f t="shared" ref="T45" si="433">COUNTIF(T6:T44,"12")+COUNTIF(T6:T44,"10")+COUNTIF(T6:T44,"11")+COUNTIF(T6:T44,"11.5")+COUNTIF(T6:T44,"10.5")</f>
        <v>0</v>
      </c>
      <c r="U45" s="100"/>
      <c r="V45" s="99">
        <f t="shared" ref="V45" si="434">COUNTIF(V6:V44,"12")+COUNTIF(V6:V44,"10")+COUNTIF(V6:V44,"11")+COUNTIF(V6:V44,"11.5")+COUNTIF(V6:V44,"10.5")</f>
        <v>0</v>
      </c>
      <c r="W45" s="100"/>
      <c r="X45" s="99">
        <f t="shared" ref="X45" si="435">COUNTIF(X6:X44,"12")+COUNTIF(X6:X44,"10")+COUNTIF(X6:X44,"11")+COUNTIF(X6:X44,"11.5")+COUNTIF(X6:X44,"10.5")</f>
        <v>0</v>
      </c>
      <c r="Y45" s="100"/>
      <c r="Z45" s="99">
        <f t="shared" ref="Z45" si="436">COUNTIF(Z6:Z44,"12")+COUNTIF(Z6:Z44,"10")+COUNTIF(Z6:Z44,"11")+COUNTIF(Z6:Z44,"11.5")+COUNTIF(Z6:Z44,"10.5")</f>
        <v>0</v>
      </c>
      <c r="AA45" s="100"/>
      <c r="AB45" s="99">
        <f t="shared" ref="AB45" si="437">COUNTIF(AB6:AB44,"12")+COUNTIF(AB6:AB44,"10")+COUNTIF(AB6:AB44,"11")+COUNTIF(AB6:AB44,"11.5")+COUNTIF(AB6:AB44,"10.5")</f>
        <v>0</v>
      </c>
      <c r="AC45" s="100"/>
      <c r="AD45" s="99">
        <f t="shared" ref="AD45" si="438">COUNTIF(AD6:AD44,"12")+COUNTIF(AD6:AD44,"10")+COUNTIF(AD6:AD44,"11")+COUNTIF(AD6:AD44,"11.5")+COUNTIF(AD6:AD44,"10.5")</f>
        <v>0</v>
      </c>
      <c r="AE45" s="100"/>
      <c r="AF45" s="99">
        <f t="shared" ref="AF45" si="439">COUNTIF(AF6:AF44,"12")+COUNTIF(AF6:AF44,"10")+COUNTIF(AF6:AF44,"11")+COUNTIF(AF6:AF44,"11.5")+COUNTIF(AF6:AF44,"10.5")</f>
        <v>0</v>
      </c>
      <c r="AG45" s="100"/>
      <c r="AH45" s="99">
        <f t="shared" ref="AH45" si="440">COUNTIF(AH6:AH44,"12")+COUNTIF(AH6:AH44,"10")+COUNTIF(AH6:AH44,"11")+COUNTIF(AH6:AH44,"11.5")+COUNTIF(AH6:AH44,"10.5")</f>
        <v>0</v>
      </c>
      <c r="AI45" s="100"/>
      <c r="AJ45" s="99">
        <f>COUNTIF(AJ6:AJ44,"12")+COUNTIF(AJ6:AJ44,"10")+COUNTIF(AJ6:AJ44,"11")+COUNTIF(AJ6:AJ44,"11.5")+COUNTIF(AJ6:AJ44,"10.5")</f>
        <v>0</v>
      </c>
      <c r="AK45" s="100"/>
      <c r="AL45" s="99">
        <f t="shared" ref="AL45" si="441">COUNTIF(AL6:AL44,"12")+COUNTIF(AL6:AL44,"10")+COUNTIF(AL6:AL44,"11")+COUNTIF(AL6:AL44,"11.5")+COUNTIF(AL6:AL44,"10.5")</f>
        <v>0</v>
      </c>
      <c r="AM45" s="100"/>
      <c r="AN45" s="99">
        <f t="shared" ref="AN45" si="442">COUNTIF(AN6:AN44,"12")+COUNTIF(AN6:AN44,"10")+COUNTIF(AN6:AN44,"11")+COUNTIF(AN6:AN44,"11.5")+COUNTIF(AN6:AN44,"10.5")</f>
        <v>0</v>
      </c>
      <c r="AO45" s="100"/>
      <c r="AP45" s="99">
        <f t="shared" ref="AP45" si="443">COUNTIF(AP6:AP44,"12")+COUNTIF(AP6:AP44,"10")+COUNTIF(AP6:AP44,"11")+COUNTIF(AP6:AP44,"11.5")+COUNTIF(AP6:AP44,"10.5")</f>
        <v>0</v>
      </c>
      <c r="AQ45" s="100"/>
      <c r="AR45" s="99">
        <f t="shared" ref="AR45" si="444">COUNTIF(AR6:AR44,"12")+COUNTIF(AR6:AR44,"10")+COUNTIF(AR6:AR44,"11")+COUNTIF(AR6:AR44,"11.5")+COUNTIF(AR6:AR44,"10.5")</f>
        <v>0</v>
      </c>
      <c r="AS45" s="100"/>
      <c r="AT45" s="99">
        <f t="shared" ref="AT45" si="445">COUNTIF(AT6:AT44,"12")+COUNTIF(AT6:AT44,"10")+COUNTIF(AT6:AT44,"11")+COUNTIF(AT6:AT44,"11.5")+COUNTIF(AT6:AT44,"10.5")</f>
        <v>0</v>
      </c>
      <c r="AU45" s="100"/>
      <c r="AV45" s="99">
        <f t="shared" ref="AV45" si="446">COUNTIF(AV6:AV44,"12")+COUNTIF(AV6:AV44,"10")+COUNTIF(AV6:AV44,"11")+COUNTIF(AV6:AV44,"11.5")+COUNTIF(AV6:AV44,"10.5")</f>
        <v>0</v>
      </c>
      <c r="AW45" s="100"/>
      <c r="AX45" s="99">
        <f t="shared" ref="AX45" si="447">COUNTIF(AX6:AX44,"12")+COUNTIF(AX6:AX44,"10")+COUNTIF(AX6:AX44,"11")+COUNTIF(AX6:AX44,"11.5")+COUNTIF(AX6:AX44,"10.5")</f>
        <v>0</v>
      </c>
      <c r="AY45" s="100"/>
      <c r="AZ45" s="99">
        <f t="shared" ref="AZ45" si="448">COUNTIF(AZ6:AZ44,"12")+COUNTIF(AZ6:AZ44,"10")+COUNTIF(AZ6:AZ44,"11")+COUNTIF(AZ6:AZ44,"11.5")+COUNTIF(AZ6:AZ44,"10.5")</f>
        <v>0</v>
      </c>
      <c r="BA45" s="100"/>
      <c r="BB45" s="99">
        <f t="shared" ref="BB45" si="449">COUNTIF(BB6:BB44,"12")+COUNTIF(BB6:BB44,"10")+COUNTIF(BB6:BB44,"11")+COUNTIF(BB6:BB44,"11.5")+COUNTIF(BB6:BB44,"10.5")</f>
        <v>0</v>
      </c>
      <c r="BC45" s="100"/>
      <c r="BD45" s="99">
        <f t="shared" ref="BD45" si="450">COUNTIF(BD6:BD44,"12")+COUNTIF(BD6:BD44,"10")+COUNTIF(BD6:BD44,"11")+COUNTIF(BD6:BD44,"11.5")+COUNTIF(BD6:BD44,"10.5")</f>
        <v>0</v>
      </c>
      <c r="BE45" s="100"/>
      <c r="BF45" s="99">
        <f t="shared" ref="BF45" si="451">COUNTIF(BF6:BF44,"12")+COUNTIF(BF6:BF44,"10")+COUNTIF(BF6:BF44,"11")+COUNTIF(BF6:BF44,"11.5")+COUNTIF(BF6:BF44,"10.5")</f>
        <v>0</v>
      </c>
      <c r="BG45" s="100"/>
      <c r="BH45" s="99">
        <f t="shared" ref="BH45" si="452">COUNTIF(BH6:BH44,"12")+COUNTIF(BH6:BH44,"10")+COUNTIF(BH6:BH44,"11")+COUNTIF(BH6:BH44,"11.5")+COUNTIF(BH6:BH44,"10.5")</f>
        <v>0</v>
      </c>
      <c r="BI45" s="100"/>
      <c r="BJ45" s="99">
        <f t="shared" ref="BJ45" si="453">COUNTIF(BJ6:BJ44,"12")+COUNTIF(BJ6:BJ44,"10")+COUNTIF(BJ6:BJ44,"11")+COUNTIF(BJ6:BJ44,"11.5")+COUNTIF(BJ6:BJ44,"10.5")</f>
        <v>0</v>
      </c>
      <c r="BK45" s="100"/>
      <c r="BL45" s="99">
        <f t="shared" ref="BL45" si="454">COUNTIF(BL6:BL44,"12")+COUNTIF(BL6:BL44,"10")+COUNTIF(BL6:BL44,"11")+COUNTIF(BL6:BL44,"11.5")+COUNTIF(BL6:BL44,"10.5")</f>
        <v>0</v>
      </c>
      <c r="BM45" s="100"/>
      <c r="BN45" s="50" t="s">
        <v>96</v>
      </c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</row>
    <row r="46" spans="1:82" ht="15" thickBot="1">
      <c r="A46" s="101" t="s">
        <v>97</v>
      </c>
      <c r="B46" s="102"/>
      <c r="C46" s="103"/>
      <c r="D46" s="99">
        <f>COUNTIF(E3:E44,"16")+COUNTIF(E3:E44,"16.5")+COUNTIF(E3:E44,"17")</f>
        <v>0</v>
      </c>
      <c r="E46" s="100"/>
      <c r="F46" s="99">
        <f>COUNTIF(G3:G44,"16")+COUNTIF(G3:G44,"16.5")+COUNTIF(G3:G44,"17")</f>
        <v>0</v>
      </c>
      <c r="G46" s="100"/>
      <c r="H46" s="99">
        <f t="shared" ref="H46" si="455">COUNTIF(I3:I44,"16")+COUNTIF(I3:I44,"16.5")+COUNTIF(I3:I44,"17")</f>
        <v>0</v>
      </c>
      <c r="I46" s="100"/>
      <c r="J46" s="99">
        <f t="shared" ref="J46" si="456">COUNTIF(K3:K44,"16")+COUNTIF(K3:K44,"16.5")+COUNTIF(K3:K44,"17")</f>
        <v>0</v>
      </c>
      <c r="K46" s="100"/>
      <c r="L46" s="99">
        <f t="shared" ref="L46" si="457">COUNTIF(M3:M44,"16")+COUNTIF(M3:M44,"16.5")+COUNTIF(M3:M44,"17")</f>
        <v>0</v>
      </c>
      <c r="M46" s="100"/>
      <c r="N46" s="99">
        <f t="shared" ref="N46" si="458">COUNTIF(O3:O44,"16")+COUNTIF(O3:O44,"16.5")+COUNTIF(O3:O44,"17")</f>
        <v>0</v>
      </c>
      <c r="O46" s="100"/>
      <c r="P46" s="99">
        <f t="shared" ref="P46" si="459">COUNTIF(Q3:Q44,"16")+COUNTIF(Q3:Q44,"16.5")+COUNTIF(Q3:Q44,"17")</f>
        <v>0</v>
      </c>
      <c r="Q46" s="100"/>
      <c r="R46" s="99">
        <f t="shared" ref="R46" si="460">COUNTIF(S3:S44,"16")+COUNTIF(S3:S44,"16.5")+COUNTIF(S3:S44,"17")</f>
        <v>0</v>
      </c>
      <c r="S46" s="100"/>
      <c r="T46" s="99">
        <f t="shared" ref="T46" si="461">COUNTIF(U3:U44,"16")+COUNTIF(U3:U44,"16.5")+COUNTIF(U3:U44,"17")</f>
        <v>0</v>
      </c>
      <c r="U46" s="100"/>
      <c r="V46" s="99">
        <f t="shared" ref="V46" si="462">COUNTIF(W3:W44,"16")+COUNTIF(W3:W44,"16.5")+COUNTIF(W3:W44,"17")</f>
        <v>0</v>
      </c>
      <c r="W46" s="100"/>
      <c r="X46" s="99">
        <f t="shared" ref="X46" si="463">COUNTIF(Y3:Y44,"16")+COUNTIF(Y3:Y44,"16.5")+COUNTIF(Y3:Y44,"17")</f>
        <v>0</v>
      </c>
      <c r="Y46" s="100"/>
      <c r="Z46" s="99">
        <f t="shared" ref="Z46" si="464">COUNTIF(AA3:AA44,"16")+COUNTIF(AA3:AA44,"16.5")+COUNTIF(AA3:AA44,"17")</f>
        <v>0</v>
      </c>
      <c r="AA46" s="100"/>
      <c r="AB46" s="99">
        <f t="shared" ref="AB46" si="465">COUNTIF(AC3:AC44,"16")+COUNTIF(AC3:AC44,"16.5")+COUNTIF(AC3:AC44,"17")</f>
        <v>0</v>
      </c>
      <c r="AC46" s="100"/>
      <c r="AD46" s="99">
        <f t="shared" ref="AD46" si="466">COUNTIF(AE3:AE44,"16")+COUNTIF(AE3:AE44,"16.5")+COUNTIF(AE3:AE44,"17")</f>
        <v>0</v>
      </c>
      <c r="AE46" s="100"/>
      <c r="AF46" s="99">
        <f t="shared" ref="AF46" si="467">COUNTIF(AG3:AG44,"16")+COUNTIF(AG3:AG44,"16.5")+COUNTIF(AG3:AG44,"17")</f>
        <v>0</v>
      </c>
      <c r="AG46" s="100"/>
      <c r="AH46" s="99">
        <f t="shared" ref="AH46" si="468">COUNTIF(AI3:AI44,"16")+COUNTIF(AI3:AI44,"16.5")+COUNTIF(AI3:AI44,"17")</f>
        <v>0</v>
      </c>
      <c r="AI46" s="100"/>
      <c r="AJ46" s="99">
        <f t="shared" ref="AJ46" si="469">COUNTIF(AK3:AK44,"16")+COUNTIF(AK3:AK44,"16.5")+COUNTIF(AK3:AK44,"17")</f>
        <v>0</v>
      </c>
      <c r="AK46" s="100"/>
      <c r="AL46" s="99">
        <f t="shared" ref="AL46" si="470">COUNTIF(AM3:AM44,"16")+COUNTIF(AM3:AM44,"16.5")+COUNTIF(AM3:AM44,"17")</f>
        <v>0</v>
      </c>
      <c r="AM46" s="100"/>
      <c r="AN46" s="99">
        <f t="shared" ref="AN46" si="471">COUNTIF(AO3:AO44,"16")+COUNTIF(AO3:AO44,"16.5")+COUNTIF(AO3:AO44,"17")</f>
        <v>0</v>
      </c>
      <c r="AO46" s="100"/>
      <c r="AP46" s="99">
        <f t="shared" ref="AP46" si="472">COUNTIF(AQ3:AQ44,"16")+COUNTIF(AQ3:AQ44,"16.5")+COUNTIF(AQ3:AQ44,"17")</f>
        <v>0</v>
      </c>
      <c r="AQ46" s="100"/>
      <c r="AR46" s="99">
        <f t="shared" ref="AR46" si="473">COUNTIF(AS3:AS44,"16")+COUNTIF(AS3:AS44,"16.5")+COUNTIF(AS3:AS44,"17")</f>
        <v>0</v>
      </c>
      <c r="AS46" s="100"/>
      <c r="AT46" s="99">
        <f t="shared" ref="AT46" si="474">COUNTIF(AU3:AU44,"16")+COUNTIF(AU3:AU44,"16.5")+COUNTIF(AU3:AU44,"17")</f>
        <v>0</v>
      </c>
      <c r="AU46" s="100"/>
      <c r="AV46" s="99">
        <f t="shared" ref="AV46" si="475">COUNTIF(AW3:AW44,"16")+COUNTIF(AW3:AW44,"16.5")+COUNTIF(AW3:AW44,"17")</f>
        <v>0</v>
      </c>
      <c r="AW46" s="100"/>
      <c r="AX46" s="99">
        <f t="shared" ref="AX46" si="476">COUNTIF(AY3:AY44,"16")+COUNTIF(AY3:AY44,"16.5")+COUNTIF(AY3:AY44,"17")</f>
        <v>0</v>
      </c>
      <c r="AY46" s="100"/>
      <c r="AZ46" s="99">
        <f t="shared" ref="AZ46" si="477">COUNTIF(BA3:BA44,"16")+COUNTIF(BA3:BA44,"16.5")+COUNTIF(BA3:BA44,"17")</f>
        <v>0</v>
      </c>
      <c r="BA46" s="100"/>
      <c r="BB46" s="99">
        <f t="shared" ref="BB46" si="478">COUNTIF(BC3:BC44,"16")+COUNTIF(BC3:BC44,"16.5")+COUNTIF(BC3:BC44,"17")</f>
        <v>0</v>
      </c>
      <c r="BC46" s="100"/>
      <c r="BD46" s="99">
        <f t="shared" ref="BD46" si="479">COUNTIF(BE3:BE44,"16")+COUNTIF(BE3:BE44,"16.5")+COUNTIF(BE3:BE44,"17")</f>
        <v>0</v>
      </c>
      <c r="BE46" s="100"/>
      <c r="BF46" s="99">
        <f t="shared" ref="BF46" si="480">COUNTIF(BG3:BG44,"16")+COUNTIF(BG3:BG44,"16.5")+COUNTIF(BG3:BG44,"17")</f>
        <v>0</v>
      </c>
      <c r="BG46" s="100"/>
      <c r="BH46" s="99">
        <f t="shared" ref="BH46" si="481">COUNTIF(BI3:BI44,"16")+COUNTIF(BI3:BI44,"16.5")+COUNTIF(BI3:BI44,"17")</f>
        <v>0</v>
      </c>
      <c r="BI46" s="100"/>
      <c r="BJ46" s="99">
        <f t="shared" ref="BJ46" si="482">COUNTIF(BK3:BK44,"16")+COUNTIF(BK3:BK44,"16.5")+COUNTIF(BK3:BK44,"17")</f>
        <v>0</v>
      </c>
      <c r="BK46" s="100"/>
      <c r="BL46" s="99">
        <f t="shared" ref="BL46" si="483">COUNTIF(BM3:BM44,"16")+COUNTIF(BM3:BM44,"16.5")+COUNTIF(BM3:BM44,"17")</f>
        <v>0</v>
      </c>
      <c r="BM46" s="100"/>
      <c r="BN46" s="51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</row>
    <row r="47" spans="1:82" ht="15" thickBot="1">
      <c r="A47" s="101" t="s">
        <v>98</v>
      </c>
      <c r="B47" s="102"/>
      <c r="C47" s="103"/>
      <c r="D47" s="99">
        <f>COUNTIF(E6:E44,"22")+COUNTIF(E6:E44,"21")+COUNTIF(E6:E44,"21.5")+COUNTIF(E6:E44,"20")+COUNTIF(E6:E44,"22.5")+COUNTIF(E6:E44,"23.5")+COUNTIF(E6:E44,"23")+COUNTIF(E6:E44,"20.5")</f>
        <v>0</v>
      </c>
      <c r="E47" s="100"/>
      <c r="F47" s="99">
        <f>COUNTIF(G6:G44,"22")+COUNTIF(G6:G44,"21")+COUNTIF(G6:G44,"21.5")+COUNTIF(G6:G44,"20")+COUNTIF(G6:G44,"22.5")+COUNTIF(G6:G44,"23.5")+COUNTIF(G6:G44,"23")+COUNTIF(G6:G44,"20.5")</f>
        <v>0</v>
      </c>
      <c r="G47" s="100"/>
      <c r="H47" s="99">
        <f t="shared" ref="H47" si="484">COUNTIF(I6:I44,"22")+COUNTIF(I6:I44,"21")+COUNTIF(I6:I44,"21.5")+COUNTIF(I6:I44,"20")+COUNTIF(I6:I44,"22.5")+COUNTIF(I6:I44,"23.5")+COUNTIF(I6:I44,"23")+COUNTIF(I6:I44,"20.5")</f>
        <v>0</v>
      </c>
      <c r="I47" s="100"/>
      <c r="J47" s="99">
        <f t="shared" ref="J47" si="485">COUNTIF(K6:K44,"22")+COUNTIF(K6:K44,"21")+COUNTIF(K6:K44,"21.5")+COUNTIF(K6:K44,"20")+COUNTIF(K6:K44,"22.5")+COUNTIF(K6:K44,"23.5")+COUNTIF(K6:K44,"23")+COUNTIF(K6:K44,"20.5")</f>
        <v>0</v>
      </c>
      <c r="K47" s="100"/>
      <c r="L47" s="99">
        <f t="shared" ref="L47" si="486">COUNTIF(M6:M44,"22")+COUNTIF(M6:M44,"21")+COUNTIF(M6:M44,"21.5")+COUNTIF(M6:M44,"20")+COUNTIF(M6:M44,"22.5")+COUNTIF(M6:M44,"23.5")+COUNTIF(M6:M44,"23")+COUNTIF(M6:M44,"20.5")</f>
        <v>0</v>
      </c>
      <c r="M47" s="100"/>
      <c r="N47" s="99">
        <f t="shared" ref="N47" si="487">COUNTIF(O6:O44,"22")+COUNTIF(O6:O44,"21")+COUNTIF(O6:O44,"21.5")+COUNTIF(O6:O44,"20")+COUNTIF(O6:O44,"22.5")+COUNTIF(O6:O44,"23.5")+COUNTIF(O6:O44,"23")+COUNTIF(O6:O44,"20.5")</f>
        <v>0</v>
      </c>
      <c r="O47" s="100"/>
      <c r="P47" s="99">
        <f t="shared" ref="P47" si="488">COUNTIF(Q6:Q44,"22")+COUNTIF(Q6:Q44,"21")+COUNTIF(Q6:Q44,"21.5")+COUNTIF(Q6:Q44,"20")+COUNTIF(Q6:Q44,"22.5")+COUNTIF(Q6:Q44,"23.5")+COUNTIF(Q6:Q44,"23")+COUNTIF(Q6:Q44,"20.5")</f>
        <v>0</v>
      </c>
      <c r="Q47" s="100"/>
      <c r="R47" s="99">
        <f t="shared" ref="R47" si="489">COUNTIF(S6:S44,"22")+COUNTIF(S6:S44,"21")+COUNTIF(S6:S44,"21.5")+COUNTIF(S6:S44,"20")+COUNTIF(S6:S44,"22.5")+COUNTIF(S6:S44,"23.5")+COUNTIF(S6:S44,"23")+COUNTIF(S6:S44,"20.5")</f>
        <v>0</v>
      </c>
      <c r="S47" s="100"/>
      <c r="T47" s="99">
        <f t="shared" ref="T47" si="490">COUNTIF(U6:U44,"22")+COUNTIF(U6:U44,"21")+COUNTIF(U6:U44,"21.5")+COUNTIF(U6:U44,"20")+COUNTIF(U6:U44,"22.5")+COUNTIF(U6:U44,"23.5")+COUNTIF(U6:U44,"23")+COUNTIF(U6:U44,"20.5")</f>
        <v>0</v>
      </c>
      <c r="U47" s="100"/>
      <c r="V47" s="99">
        <f t="shared" ref="V47" si="491">COUNTIF(W6:W44,"22")+COUNTIF(W6:W44,"21")+COUNTIF(W6:W44,"21.5")+COUNTIF(W6:W44,"20")+COUNTIF(W6:W44,"22.5")+COUNTIF(W6:W44,"23.5")+COUNTIF(W6:W44,"23")+COUNTIF(W6:W44,"20.5")</f>
        <v>0</v>
      </c>
      <c r="W47" s="100"/>
      <c r="X47" s="99">
        <f t="shared" ref="X47" si="492">COUNTIF(Y6:Y44,"22")+COUNTIF(Y6:Y44,"21")+COUNTIF(Y6:Y44,"21.5")+COUNTIF(Y6:Y44,"20")+COUNTIF(Y6:Y44,"22.5")+COUNTIF(Y6:Y44,"23.5")+COUNTIF(Y6:Y44,"23")+COUNTIF(Y6:Y44,"20.5")</f>
        <v>0</v>
      </c>
      <c r="Y47" s="100"/>
      <c r="Z47" s="99">
        <f t="shared" ref="Z47" si="493">COUNTIF(AA6:AA44,"22")+COUNTIF(AA6:AA44,"21")+COUNTIF(AA6:AA44,"21.5")+COUNTIF(AA6:AA44,"20")+COUNTIF(AA6:AA44,"22.5")+COUNTIF(AA6:AA44,"23.5")+COUNTIF(AA6:AA44,"23")+COUNTIF(AA6:AA44,"20.5")</f>
        <v>0</v>
      </c>
      <c r="AA47" s="100"/>
      <c r="AB47" s="99">
        <f t="shared" ref="AB47" si="494">COUNTIF(AC6:AC44,"22")+COUNTIF(AC6:AC44,"21")+COUNTIF(AC6:AC44,"21.5")+COUNTIF(AC6:AC44,"20")+COUNTIF(AC6:AC44,"22.5")+COUNTIF(AC6:AC44,"23.5")+COUNTIF(AC6:AC44,"23")+COUNTIF(AC6:AC44,"20.5")</f>
        <v>0</v>
      </c>
      <c r="AC47" s="100"/>
      <c r="AD47" s="99">
        <f t="shared" ref="AD47" si="495">COUNTIF(AE6:AE44,"22")+COUNTIF(AE6:AE44,"21")+COUNTIF(AE6:AE44,"21.5")+COUNTIF(AE6:AE44,"20")+COUNTIF(AE6:AE44,"22.5")+COUNTIF(AE6:AE44,"23.5")+COUNTIF(AE6:AE44,"23")+COUNTIF(AE6:AE44,"20.5")</f>
        <v>0</v>
      </c>
      <c r="AE47" s="100"/>
      <c r="AF47" s="99">
        <f t="shared" ref="AF47" si="496">COUNTIF(AG6:AG44,"22")+COUNTIF(AG6:AG44,"21")+COUNTIF(AG6:AG44,"21.5")+COUNTIF(AG6:AG44,"20")+COUNTIF(AG6:AG44,"22.5")+COUNTIF(AG6:AG44,"23.5")+COUNTIF(AG6:AG44,"23")+COUNTIF(AG6:AG44,"20.5")</f>
        <v>0</v>
      </c>
      <c r="AG47" s="100"/>
      <c r="AH47" s="99">
        <f t="shared" ref="AH47" si="497">COUNTIF(AI6:AI44,"22")+COUNTIF(AI6:AI44,"21")+COUNTIF(AI6:AI44,"21.5")+COUNTIF(AI6:AI44,"20")+COUNTIF(AI6:AI44,"22.5")+COUNTIF(AI6:AI44,"23.5")+COUNTIF(AI6:AI44,"23")+COUNTIF(AI6:AI44,"20.5")</f>
        <v>0</v>
      </c>
      <c r="AI47" s="100"/>
      <c r="AJ47" s="99">
        <f t="shared" ref="AJ47" si="498">COUNTIF(AK6:AK44,"22")+COUNTIF(AK6:AK44,"21")+COUNTIF(AK6:AK44,"21.5")+COUNTIF(AK6:AK44,"20")+COUNTIF(AK6:AK44,"22.5")+COUNTIF(AK6:AK44,"23.5")+COUNTIF(AK6:AK44,"23")+COUNTIF(AK6:AK44,"20.5")</f>
        <v>0</v>
      </c>
      <c r="AK47" s="100"/>
      <c r="AL47" s="99">
        <f t="shared" ref="AL47" si="499">COUNTIF(AM6:AM44,"22")+COUNTIF(AM6:AM44,"21")+COUNTIF(AM6:AM44,"21.5")+COUNTIF(AM6:AM44,"20")+COUNTIF(AM6:AM44,"22.5")+COUNTIF(AM6:AM44,"23.5")+COUNTIF(AM6:AM44,"23")+COUNTIF(AM6:AM44,"20.5")</f>
        <v>0</v>
      </c>
      <c r="AM47" s="100"/>
      <c r="AN47" s="99">
        <f t="shared" ref="AN47" si="500">COUNTIF(AO6:AO44,"22")+COUNTIF(AO6:AO44,"21")+COUNTIF(AO6:AO44,"21.5")+COUNTIF(AO6:AO44,"20")+COUNTIF(AO6:AO44,"22.5")+COUNTIF(AO6:AO44,"23.5")+COUNTIF(AO6:AO44,"23")+COUNTIF(AO6:AO44,"20.5")</f>
        <v>0</v>
      </c>
      <c r="AO47" s="100"/>
      <c r="AP47" s="99">
        <f t="shared" ref="AP47" si="501">COUNTIF(AQ6:AQ44,"22")+COUNTIF(AQ6:AQ44,"21")+COUNTIF(AQ6:AQ44,"21.5")+COUNTIF(AQ6:AQ44,"20")+COUNTIF(AQ6:AQ44,"22.5")+COUNTIF(AQ6:AQ44,"23.5")+COUNTIF(AQ6:AQ44,"23")+COUNTIF(AQ6:AQ44,"20.5")</f>
        <v>0</v>
      </c>
      <c r="AQ47" s="100"/>
      <c r="AR47" s="99">
        <f t="shared" ref="AR47" si="502">COUNTIF(AS6:AS44,"22")+COUNTIF(AS6:AS44,"21")+COUNTIF(AS6:AS44,"21.5")+COUNTIF(AS6:AS44,"20")+COUNTIF(AS6:AS44,"22.5")+COUNTIF(AS6:AS44,"23.5")+COUNTIF(AS6:AS44,"23")+COUNTIF(AS6:AS44,"20.5")</f>
        <v>0</v>
      </c>
      <c r="AS47" s="100"/>
      <c r="AT47" s="99">
        <f t="shared" ref="AT47" si="503">COUNTIF(AU6:AU44,"22")+COUNTIF(AU6:AU44,"21")+COUNTIF(AU6:AU44,"21.5")+COUNTIF(AU6:AU44,"20")+COUNTIF(AU6:AU44,"22.5")+COUNTIF(AU6:AU44,"23.5")+COUNTIF(AU6:AU44,"23")+COUNTIF(AU6:AU44,"20.5")</f>
        <v>0</v>
      </c>
      <c r="AU47" s="100"/>
      <c r="AV47" s="99">
        <f t="shared" ref="AV47" si="504">COUNTIF(AW6:AW44,"22")+COUNTIF(AW6:AW44,"21")+COUNTIF(AW6:AW44,"21.5")+COUNTIF(AW6:AW44,"20")+COUNTIF(AW6:AW44,"22.5")+COUNTIF(AW6:AW44,"23.5")+COUNTIF(AW6:AW44,"23")+COUNTIF(AW6:AW44,"20.5")</f>
        <v>0</v>
      </c>
      <c r="AW47" s="100"/>
      <c r="AX47" s="99">
        <f t="shared" ref="AX47" si="505">COUNTIF(AY6:AY44,"22")+COUNTIF(AY6:AY44,"21")+COUNTIF(AY6:AY44,"21.5")+COUNTIF(AY6:AY44,"20")+COUNTIF(AY6:AY44,"22.5")+COUNTIF(AY6:AY44,"23.5")+COUNTIF(AY6:AY44,"23")+COUNTIF(AY6:AY44,"20.5")</f>
        <v>0</v>
      </c>
      <c r="AY47" s="100"/>
      <c r="AZ47" s="99">
        <f t="shared" ref="AZ47" si="506">COUNTIF(BA6:BA44,"22")+COUNTIF(BA6:BA44,"21")+COUNTIF(BA6:BA44,"21.5")+COUNTIF(BA6:BA44,"20")+COUNTIF(BA6:BA44,"22.5")+COUNTIF(BA6:BA44,"23.5")+COUNTIF(BA6:BA44,"23")+COUNTIF(BA6:BA44,"20.5")</f>
        <v>0</v>
      </c>
      <c r="BA47" s="100"/>
      <c r="BB47" s="99">
        <f t="shared" ref="BB47" si="507">COUNTIF(BC6:BC44,"22")+COUNTIF(BC6:BC44,"21")+COUNTIF(BC6:BC44,"21.5")+COUNTIF(BC6:BC44,"20")+COUNTIF(BC6:BC44,"22.5")+COUNTIF(BC6:BC44,"23.5")+COUNTIF(BC6:BC44,"23")+COUNTIF(BC6:BC44,"20.5")</f>
        <v>0</v>
      </c>
      <c r="BC47" s="100"/>
      <c r="BD47" s="99">
        <f t="shared" ref="BD47" si="508">COUNTIF(BE6:BE44,"22")+COUNTIF(BE6:BE44,"21")+COUNTIF(BE6:BE44,"21.5")+COUNTIF(BE6:BE44,"20")+COUNTIF(BE6:BE44,"22.5")+COUNTIF(BE6:BE44,"23.5")+COUNTIF(BE6:BE44,"23")+COUNTIF(BE6:BE44,"20.5")</f>
        <v>0</v>
      </c>
      <c r="BE47" s="100"/>
      <c r="BF47" s="99">
        <f t="shared" ref="BF47" si="509">COUNTIF(BG6:BG44,"22")+COUNTIF(BG6:BG44,"21")+COUNTIF(BG6:BG44,"21.5")+COUNTIF(BG6:BG44,"20")+COUNTIF(BG6:BG44,"22.5")+COUNTIF(BG6:BG44,"23.5")+COUNTIF(BG6:BG44,"23")+COUNTIF(BG6:BG44,"20.5")</f>
        <v>0</v>
      </c>
      <c r="BG47" s="100"/>
      <c r="BH47" s="99">
        <f t="shared" ref="BH47" si="510">COUNTIF(BI6:BI44,"22")+COUNTIF(BI6:BI44,"21")+COUNTIF(BI6:BI44,"21.5")+COUNTIF(BI6:BI44,"20")+COUNTIF(BI6:BI44,"22.5")+COUNTIF(BI6:BI44,"23.5")+COUNTIF(BI6:BI44,"23")+COUNTIF(BI6:BI44,"20.5")</f>
        <v>0</v>
      </c>
      <c r="BI47" s="100"/>
      <c r="BJ47" s="99">
        <f t="shared" ref="BJ47" si="511">COUNTIF(BK6:BK44,"22")+COUNTIF(BK6:BK44,"21")+COUNTIF(BK6:BK44,"21.5")+COUNTIF(BK6:BK44,"20")+COUNTIF(BK6:BK44,"22.5")+COUNTIF(BK6:BK44,"23.5")+COUNTIF(BK6:BK44,"23")+COUNTIF(BK6:BK44,"20.5")</f>
        <v>0</v>
      </c>
      <c r="BK47" s="100"/>
      <c r="BL47" s="99">
        <f t="shared" ref="BL47" si="512">COUNTIF(BM6:BM44,"22")+COUNTIF(BM6:BM44,"21")+COUNTIF(BM6:BM44,"21.5")+COUNTIF(BM6:BM44,"20")+COUNTIF(BM6:BM44,"22.5")+COUNTIF(BM6:BM44,"23.5")+COUNTIF(BM6:BM44,"23")+COUNTIF(BM6:BM44,"20.5")</f>
        <v>0</v>
      </c>
      <c r="BM47" s="100"/>
      <c r="BN47" s="51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</row>
    <row r="48" spans="1:82" ht="15" thickBot="1">
      <c r="A48" s="101" t="s">
        <v>99</v>
      </c>
      <c r="B48" s="102"/>
      <c r="C48" s="103"/>
      <c r="D48" s="96">
        <f>D44+D38+D29+D26+D23+D20+D17+D14+D11+D8+D32+D35</f>
        <v>8</v>
      </c>
      <c r="E48" s="97"/>
      <c r="F48" s="96">
        <v>0</v>
      </c>
      <c r="G48" s="97"/>
      <c r="H48" s="96">
        <v>0</v>
      </c>
      <c r="I48" s="97"/>
      <c r="J48" s="96">
        <v>0</v>
      </c>
      <c r="K48" s="97"/>
      <c r="L48" s="96">
        <v>0</v>
      </c>
      <c r="M48" s="97"/>
      <c r="N48" s="96">
        <v>0</v>
      </c>
      <c r="O48" s="97"/>
      <c r="P48" s="96">
        <v>0</v>
      </c>
      <c r="Q48" s="97"/>
      <c r="R48" s="96">
        <v>0</v>
      </c>
      <c r="S48" s="97"/>
      <c r="T48" s="96">
        <v>0</v>
      </c>
      <c r="U48" s="97"/>
      <c r="V48" s="96">
        <v>0</v>
      </c>
      <c r="W48" s="97"/>
      <c r="X48" s="96">
        <v>0</v>
      </c>
      <c r="Y48" s="97"/>
      <c r="Z48" s="96">
        <v>0</v>
      </c>
      <c r="AA48" s="97"/>
      <c r="AB48" s="96">
        <v>0</v>
      </c>
      <c r="AC48" s="97"/>
      <c r="AD48" s="96">
        <v>0</v>
      </c>
      <c r="AE48" s="97"/>
      <c r="AF48" s="96">
        <v>0</v>
      </c>
      <c r="AG48" s="97"/>
      <c r="AH48" s="96">
        <v>0</v>
      </c>
      <c r="AI48" s="97"/>
      <c r="AJ48" s="96">
        <v>0</v>
      </c>
      <c r="AK48" s="97"/>
      <c r="AL48" s="96">
        <v>0</v>
      </c>
      <c r="AM48" s="97"/>
      <c r="AN48" s="96">
        <v>0</v>
      </c>
      <c r="AO48" s="97"/>
      <c r="AP48" s="96">
        <v>0</v>
      </c>
      <c r="AQ48" s="97"/>
      <c r="AR48" s="96">
        <v>0</v>
      </c>
      <c r="AS48" s="97"/>
      <c r="AT48" s="96">
        <v>0</v>
      </c>
      <c r="AU48" s="97"/>
      <c r="AV48" s="96">
        <v>0</v>
      </c>
      <c r="AW48" s="97"/>
      <c r="AX48" s="96">
        <v>0</v>
      </c>
      <c r="AY48" s="97"/>
      <c r="AZ48" s="96">
        <v>0</v>
      </c>
      <c r="BA48" s="97"/>
      <c r="BB48" s="96">
        <v>0</v>
      </c>
      <c r="BC48" s="97"/>
      <c r="BD48" s="96">
        <v>0</v>
      </c>
      <c r="BE48" s="97"/>
      <c r="BF48" s="96">
        <v>0</v>
      </c>
      <c r="BG48" s="97"/>
      <c r="BH48" s="96">
        <v>0</v>
      </c>
      <c r="BI48" s="97"/>
      <c r="BJ48" s="96">
        <v>0</v>
      </c>
      <c r="BK48" s="97"/>
      <c r="BL48" s="96">
        <v>0</v>
      </c>
      <c r="BM48" s="98"/>
      <c r="BN48" s="52">
        <v>0</v>
      </c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</row>
    <row r="49" spans="1:82" ht="15" thickBo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</row>
    <row r="50" spans="1:82" ht="15" thickBo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</row>
    <row r="51" spans="1:82" ht="15" thickBo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</row>
    <row r="52" spans="1:82" ht="15" thickBo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</row>
    <row r="53" spans="1:82" ht="15" thickBo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</row>
    <row r="54" spans="1:82" ht="15" thickBo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</row>
    <row r="55" spans="1:82" ht="15" thickBo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</row>
    <row r="56" spans="1:82" ht="15" thickBo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</row>
    <row r="57" spans="1:82" ht="15" thickBo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</row>
    <row r="58" spans="1:82" ht="15" thickBo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</row>
    <row r="59" spans="1:82" ht="15" thickBo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</row>
    <row r="60" spans="1:82" ht="15" thickBo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</row>
    <row r="61" spans="1:82" ht="15" thickBo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</row>
    <row r="62" spans="1:82" ht="15" thickBo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</row>
    <row r="63" spans="1:82" ht="15" thickBo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</row>
    <row r="64" spans="1:82" ht="15" thickBo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</row>
    <row r="65" spans="1:82" ht="15" thickBo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</row>
    <row r="66" spans="1:82" ht="15" thickBo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</row>
    <row r="67" spans="1:82" ht="15" thickBo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</row>
    <row r="68" spans="1:82" ht="15" thickBo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</row>
    <row r="69" spans="1:82" ht="15" thickBo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</row>
    <row r="70" spans="1:82" ht="15" thickBo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</row>
    <row r="71" spans="1:82" ht="15" thickBo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</row>
    <row r="72" spans="1:82" ht="15" thickBo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</row>
    <row r="73" spans="1:82" ht="15" thickBo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</row>
    <row r="74" spans="1:82" ht="15" thickBo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</row>
    <row r="75" spans="1:82" ht="15" thickBo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</row>
    <row r="76" spans="1:82" ht="15" thickBo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</row>
    <row r="77" spans="1:82" ht="15" thickBo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</row>
    <row r="78" spans="1:82" ht="15" thickBo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</row>
    <row r="79" spans="1:82" ht="15" thickBo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</row>
    <row r="80" spans="1:82" ht="15" thickBo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</row>
    <row r="81" spans="1:82" ht="15" thickBo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</row>
    <row r="82" spans="1:82" ht="15" thickBo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</row>
    <row r="83" spans="1:82" ht="15" thickBo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</row>
    <row r="84" spans="1:82" ht="15" thickBo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</row>
    <row r="85" spans="1:82" ht="15" thickBo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</row>
    <row r="86" spans="1:82" ht="15" thickBo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</row>
    <row r="87" spans="1:82" ht="15" thickBo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</row>
    <row r="88" spans="1:82" ht="15" thickBo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</row>
    <row r="89" spans="1:82" ht="15" thickBo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</row>
    <row r="90" spans="1:82" ht="15" thickBo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</row>
    <row r="91" spans="1:82" ht="15" thickBo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</row>
    <row r="92" spans="1:82" ht="15" thickBo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</row>
    <row r="93" spans="1:82" ht="15" thickBo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</row>
    <row r="94" spans="1:82" ht="15" thickBo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</row>
    <row r="95" spans="1:82" ht="15" thickBo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</row>
    <row r="96" spans="1:82" ht="15" thickBo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</row>
    <row r="97" spans="1:82" ht="15" thickBo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</row>
    <row r="98" spans="1:82" ht="15" thickBo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</row>
    <row r="99" spans="1:82" ht="15" thickBo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</row>
    <row r="100" spans="1:82" ht="15" thickBo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</row>
    <row r="101" spans="1:82" ht="15" thickBo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</row>
    <row r="102" spans="1:82" ht="15" thickBo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</row>
    <row r="103" spans="1:82" ht="15" thickBo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</row>
    <row r="104" spans="1:82" ht="15" thickBo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</row>
    <row r="105" spans="1:82" ht="15" thickBo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</row>
    <row r="106" spans="1:82" ht="15" thickBo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</row>
    <row r="107" spans="1:82" ht="15" thickBo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</row>
    <row r="108" spans="1:82" ht="15" thickBo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</row>
    <row r="109" spans="1:82" ht="15" thickBo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</row>
    <row r="110" spans="1:82" ht="15" thickBo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</row>
    <row r="111" spans="1:82" ht="15" thickBo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</row>
    <row r="112" spans="1:82" ht="15" thickBo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</row>
    <row r="113" spans="1:82" ht="15" thickBo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</row>
    <row r="114" spans="1:82" ht="15" thickBo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</row>
    <row r="115" spans="1:82" ht="15" thickBo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</row>
    <row r="116" spans="1:82" ht="15" thickBo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</row>
    <row r="117" spans="1:82" ht="15" thickBo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</row>
    <row r="118" spans="1:82" ht="15" thickBo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</row>
    <row r="119" spans="1:82" ht="15" thickBo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</row>
    <row r="120" spans="1:82" ht="15" thickBo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</row>
    <row r="121" spans="1:82" ht="15" thickBo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</row>
    <row r="122" spans="1:82" ht="15" thickBo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</row>
    <row r="123" spans="1:82" ht="15" thickBo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</row>
    <row r="124" spans="1:82" ht="15" thickBo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</row>
    <row r="125" spans="1:82" ht="15" thickBo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</row>
    <row r="126" spans="1:82" ht="15" thickBo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</row>
    <row r="127" spans="1:82" ht="15" thickBo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</row>
    <row r="128" spans="1:82" ht="15" thickBo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</row>
    <row r="129" spans="1:82" ht="15" thickBo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</row>
    <row r="130" spans="1:82" ht="15" thickBo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</row>
    <row r="131" spans="1:82" ht="15" thickBo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</row>
    <row r="132" spans="1:82" ht="15" thickBo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</row>
    <row r="133" spans="1:82" ht="15" thickBo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</row>
    <row r="134" spans="1:82" ht="15" thickBo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</row>
    <row r="135" spans="1:82" ht="15" thickBo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</row>
    <row r="136" spans="1:82" ht="15" thickBo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</row>
    <row r="137" spans="1:82" ht="15" thickBo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</row>
    <row r="138" spans="1:82" ht="15" thickBo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</row>
    <row r="139" spans="1:82" ht="15" thickBo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</row>
    <row r="140" spans="1:82" ht="15" thickBo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</row>
    <row r="141" spans="1:82" ht="15" thickBo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</row>
    <row r="142" spans="1:82" ht="15" thickBo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</row>
    <row r="143" spans="1:82" ht="15" thickBo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</row>
    <row r="144" spans="1:82" ht="15" thickBo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</row>
    <row r="145" spans="1:82" ht="15" thickBo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</row>
    <row r="146" spans="1:82" ht="15" thickBo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</row>
    <row r="147" spans="1:82" ht="15" thickBo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</row>
    <row r="148" spans="1:82" ht="15" thickBo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</row>
    <row r="149" spans="1:82" ht="15" thickBo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</row>
    <row r="150" spans="1:82" ht="15" thickBo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</row>
    <row r="151" spans="1:82" ht="15" thickBo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</row>
    <row r="152" spans="1:82" ht="15" thickBo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</row>
    <row r="153" spans="1:82" ht="15" thickBo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</row>
    <row r="154" spans="1:82" ht="15" thickBo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</row>
    <row r="155" spans="1:82" ht="15" thickBo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</row>
    <row r="156" spans="1:82" ht="15" thickBo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</row>
    <row r="157" spans="1:82" ht="15" thickBo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</row>
    <row r="158" spans="1:82" ht="15" thickBo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</row>
    <row r="159" spans="1:82" ht="15" thickBo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</row>
    <row r="160" spans="1:82" ht="15" thickBo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</row>
    <row r="161" spans="1:82" ht="15" thickBo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</row>
    <row r="162" spans="1:82" ht="15" thickBo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</row>
    <row r="163" spans="1:82" ht="15" thickBo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</row>
    <row r="164" spans="1:82" ht="15" thickBo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</row>
    <row r="165" spans="1:82" ht="15" thickBo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</row>
    <row r="166" spans="1:82" ht="15" thickBo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</row>
    <row r="167" spans="1:82" ht="15" thickBo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</row>
    <row r="168" spans="1:82" ht="15" thickBo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</row>
    <row r="169" spans="1:82" ht="15" thickBo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</row>
    <row r="170" spans="1:82" ht="15" thickBo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</row>
    <row r="171" spans="1:82" ht="15" thickBo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</row>
    <row r="172" spans="1:82" ht="15" thickBo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</row>
    <row r="173" spans="1:82" ht="15" thickBo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</row>
    <row r="174" spans="1:82" ht="15" thickBo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</row>
    <row r="175" spans="1:82" ht="15" thickBo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</row>
    <row r="176" spans="1:82" ht="15" thickBo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</row>
    <row r="177" spans="1:82" ht="15" thickBo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</row>
    <row r="178" spans="1:82" ht="15" thickBo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</row>
    <row r="179" spans="1:82" ht="15" thickBo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</row>
    <row r="180" spans="1:82" ht="15" thickBo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</row>
    <row r="181" spans="1:82" ht="15" thickBo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</row>
    <row r="182" spans="1:82" ht="15" thickBo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</row>
    <row r="183" spans="1:82" ht="15" thickBo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</row>
    <row r="184" spans="1:82" ht="15" thickBo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</row>
    <row r="185" spans="1:82" ht="15" thickBo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</row>
    <row r="186" spans="1:82" ht="15" thickBo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</row>
    <row r="187" spans="1:82" ht="15" thickBo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</row>
    <row r="188" spans="1:82" ht="15" thickBo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</row>
    <row r="189" spans="1:82" ht="15" thickBo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</row>
    <row r="190" spans="1:82" ht="15" thickBo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</row>
    <row r="191" spans="1:82" ht="15" thickBo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</row>
    <row r="192" spans="1:82" ht="15" thickBo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</row>
    <row r="193" spans="1:82" ht="15" thickBo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</row>
    <row r="194" spans="1:82" ht="15" thickBo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</row>
    <row r="195" spans="1:82" ht="15" thickBo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</row>
    <row r="196" spans="1:82" ht="15" thickBo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</row>
    <row r="197" spans="1:82" ht="15" thickBo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</row>
    <row r="198" spans="1:82" ht="15" thickBo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</row>
    <row r="199" spans="1:82" ht="15" thickBo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</row>
    <row r="200" spans="1:82" ht="15" thickBo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</row>
    <row r="201" spans="1:82" ht="15" thickBo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</row>
    <row r="202" spans="1:82" ht="15" thickBo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</row>
    <row r="203" spans="1:82" ht="15" thickBo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</row>
    <row r="204" spans="1:82" ht="15" thickBo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</row>
    <row r="205" spans="1:82" ht="15" thickBo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</row>
    <row r="206" spans="1:82" ht="15" thickBo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</row>
    <row r="207" spans="1:82" ht="15" thickBo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</row>
    <row r="208" spans="1:82" ht="15" thickBo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</row>
    <row r="209" spans="1:82" ht="15" thickBo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</row>
    <row r="210" spans="1:82" ht="15" thickBo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</row>
    <row r="211" spans="1:82" ht="15" thickBo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</row>
    <row r="212" spans="1:82" ht="15" thickBo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</row>
    <row r="213" spans="1:82" ht="15" thickBo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</row>
    <row r="214" spans="1:82" ht="15" thickBo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</row>
    <row r="215" spans="1:82" ht="15" thickBo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</row>
    <row r="216" spans="1:82" ht="15" thickBo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</row>
    <row r="217" spans="1:82" ht="15" thickBo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</row>
    <row r="218" spans="1:82" ht="15" thickBo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</row>
    <row r="219" spans="1:82" ht="15" thickBo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</row>
    <row r="220" spans="1:82" ht="15" thickBo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</row>
    <row r="221" spans="1:82" ht="15" thickBo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</row>
    <row r="222" spans="1:82" ht="15" thickBo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</row>
    <row r="223" spans="1:82" ht="15" thickBo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</row>
    <row r="224" spans="1:82" ht="15" thickBo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</row>
    <row r="225" spans="1:82" ht="15" thickBo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</row>
    <row r="226" spans="1:82" ht="15" thickBo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</row>
    <row r="227" spans="1:82" ht="15" thickBo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</row>
    <row r="228" spans="1:82" ht="15" thickBo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</row>
    <row r="229" spans="1:82" ht="15" thickBo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</row>
    <row r="230" spans="1:82" ht="15" thickBo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</row>
    <row r="231" spans="1:82" ht="15" thickBo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</row>
    <row r="232" spans="1:82" ht="15" thickBo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</row>
    <row r="233" spans="1:82" ht="15" thickBo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</row>
    <row r="234" spans="1:82" ht="15" thickBo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</row>
    <row r="235" spans="1:82" ht="15" thickBo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</row>
    <row r="236" spans="1:82" ht="15" thickBo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</row>
    <row r="237" spans="1:82" ht="15" thickBo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</row>
    <row r="238" spans="1:82" ht="15" thickBo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</row>
    <row r="239" spans="1:82" ht="15" thickBo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</row>
    <row r="240" spans="1:82" ht="15" thickBo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</row>
    <row r="241" spans="1:82" ht="15" thickBo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</row>
    <row r="242" spans="1:82" ht="15" thickBo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</row>
    <row r="243" spans="1:82" ht="15" thickBo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</row>
    <row r="244" spans="1:82" ht="15" thickBo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</row>
    <row r="245" spans="1:82" ht="15" thickBo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</row>
    <row r="246" spans="1:82" ht="15" thickBo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</row>
    <row r="247" spans="1:82" ht="15" thickBo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</row>
    <row r="248" spans="1:82" ht="15" thickBo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</row>
    <row r="249" spans="1:82" ht="15" thickBo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</row>
    <row r="250" spans="1:82" ht="15" thickBo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</row>
    <row r="251" spans="1:82" ht="15" thickBo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</row>
    <row r="252" spans="1:82" ht="15" thickBo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</row>
    <row r="253" spans="1:82" ht="15" thickBo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</row>
    <row r="254" spans="1:82" ht="15" thickBo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</row>
    <row r="255" spans="1:82" ht="15" thickBo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</row>
    <row r="256" spans="1:82" ht="15" thickBo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</row>
    <row r="257" spans="1:82" ht="15" thickBo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</row>
    <row r="258" spans="1:82" ht="15" thickBo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</row>
    <row r="259" spans="1:82" ht="15" thickBo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</row>
    <row r="260" spans="1:82" ht="15" thickBo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</row>
    <row r="261" spans="1:82" ht="15" thickBo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</row>
    <row r="262" spans="1:82" ht="15" thickBo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</row>
    <row r="263" spans="1:82" ht="15" thickBo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</row>
    <row r="264" spans="1:82" ht="15" thickBo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</row>
    <row r="265" spans="1:82" ht="15" thickBo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</row>
    <row r="266" spans="1:82" ht="15" thickBo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</row>
    <row r="267" spans="1:82" ht="15" thickBo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</row>
    <row r="268" spans="1:82" ht="15" thickBo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</row>
    <row r="269" spans="1:82" ht="15" thickBo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</row>
    <row r="270" spans="1:82" ht="15" thickBo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</row>
    <row r="271" spans="1:82" ht="15" thickBo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</row>
    <row r="272" spans="1:82" ht="15" thickBo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</row>
    <row r="273" spans="1:82" ht="15" thickBo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</row>
    <row r="274" spans="1:82" ht="15" thickBo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</row>
    <row r="275" spans="1:82" ht="15" thickBo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</row>
    <row r="276" spans="1:82" ht="15" thickBo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</row>
    <row r="277" spans="1:82" ht="15" thickBo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</row>
    <row r="278" spans="1:82" ht="15" thickBo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</row>
    <row r="279" spans="1:82" ht="15" thickBo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</row>
    <row r="280" spans="1:82" ht="15" thickBo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</row>
    <row r="281" spans="1:82" ht="15" thickBo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</row>
    <row r="282" spans="1:82" ht="15" thickBo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</row>
    <row r="283" spans="1:82" ht="15" thickBo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</row>
    <row r="284" spans="1:82" ht="15" thickBo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</row>
    <row r="285" spans="1:82" ht="15" thickBo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</row>
    <row r="286" spans="1:82" ht="15" thickBo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</row>
    <row r="287" spans="1:82" ht="15" thickBo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</row>
    <row r="288" spans="1:82" ht="15" thickBo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</row>
    <row r="289" spans="1:82" ht="15" thickBo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</row>
    <row r="290" spans="1:82" ht="15" thickBo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</row>
    <row r="291" spans="1:82" ht="15" thickBo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</row>
    <row r="292" spans="1:82" ht="15" thickBo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</row>
    <row r="293" spans="1:82" ht="15" thickBo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</row>
    <row r="294" spans="1:82" ht="15" thickBo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</row>
    <row r="295" spans="1:82" ht="15" thickBo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</row>
    <row r="296" spans="1:82" ht="15" thickBo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</row>
    <row r="297" spans="1:82" ht="15" thickBo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</row>
    <row r="298" spans="1:82" ht="15" thickBo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</row>
    <row r="299" spans="1:82" ht="15" thickBo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</row>
    <row r="300" spans="1:82" ht="15" thickBo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</row>
    <row r="301" spans="1:82" ht="15" thickBo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</row>
    <row r="302" spans="1:82" ht="15" thickBo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</row>
    <row r="303" spans="1:82" ht="15" thickBo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</row>
    <row r="304" spans="1:82" ht="15" thickBo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</row>
    <row r="305" spans="1:82" ht="15" thickBo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</row>
    <row r="306" spans="1:82" ht="15" thickBo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</row>
    <row r="307" spans="1:82" ht="15" thickBo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</row>
    <row r="308" spans="1:82" ht="15" thickBo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</row>
    <row r="309" spans="1:82" ht="15" thickBo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</row>
    <row r="310" spans="1:82" ht="15" thickBo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</row>
    <row r="311" spans="1:82" ht="15" thickBo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</row>
    <row r="312" spans="1:82" ht="15" thickBo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</row>
    <row r="313" spans="1:82" ht="15" thickBo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</row>
    <row r="314" spans="1:82" ht="15" thickBo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</row>
    <row r="315" spans="1:82" ht="15" thickBo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</row>
    <row r="316" spans="1:82" ht="15" thickBo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</row>
    <row r="317" spans="1:82" ht="15" thickBo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</row>
    <row r="318" spans="1:82" ht="15" thickBo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</row>
    <row r="319" spans="1:82" ht="15" thickBo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</row>
    <row r="320" spans="1:82" ht="15" thickBo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</row>
    <row r="321" spans="1:82" ht="15" thickBo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</row>
    <row r="322" spans="1:82" ht="15" thickBo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</row>
    <row r="323" spans="1:82" ht="15" thickBo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</row>
    <row r="324" spans="1:82" ht="15" thickBo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</row>
    <row r="325" spans="1:82" ht="15" thickBo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</row>
    <row r="326" spans="1:82" ht="15" thickBo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</row>
    <row r="327" spans="1:82" ht="15" thickBo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</row>
    <row r="328" spans="1:82" ht="15" thickBo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</row>
    <row r="329" spans="1:82" ht="15" thickBo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</row>
    <row r="330" spans="1:82" ht="15" thickBo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</row>
    <row r="331" spans="1:82" ht="15" thickBo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</row>
    <row r="332" spans="1:82" ht="15" thickBo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</row>
    <row r="333" spans="1:82" ht="15" thickBo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</row>
    <row r="334" spans="1:82" ht="15" thickBo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</row>
    <row r="335" spans="1:82" ht="15" thickBo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</row>
    <row r="336" spans="1:82" ht="15" thickBo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</row>
    <row r="337" spans="1:82" ht="15" thickBo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</row>
    <row r="338" spans="1:82" ht="15" thickBo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</row>
    <row r="339" spans="1:82" ht="15" thickBo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</row>
    <row r="340" spans="1:82" ht="15" thickBo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</row>
    <row r="341" spans="1:82" ht="15" thickBo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</row>
    <row r="342" spans="1:82" ht="15" thickBo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</row>
    <row r="343" spans="1:82" ht="15" thickBo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</row>
    <row r="344" spans="1:82" ht="15" thickBo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</row>
    <row r="345" spans="1:82" ht="15" thickBo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</row>
    <row r="346" spans="1:82" ht="15" thickBo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</row>
    <row r="347" spans="1:82" ht="15" thickBo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</row>
    <row r="348" spans="1:82" ht="15" thickBo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</row>
    <row r="349" spans="1:82" ht="15" thickBo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</row>
    <row r="350" spans="1:82" ht="15" thickBo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</row>
    <row r="351" spans="1:82" ht="15" thickBo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</row>
    <row r="352" spans="1:82" ht="15" thickBo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</row>
    <row r="353" spans="1:82" ht="15" thickBo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</row>
    <row r="354" spans="1:82" ht="15" thickBo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</row>
    <row r="355" spans="1:82" ht="15" thickBo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</row>
    <row r="356" spans="1:82" ht="15" thickBo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</row>
    <row r="357" spans="1:82" ht="15" thickBo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</row>
    <row r="358" spans="1:82" ht="15" thickBo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</row>
    <row r="359" spans="1:82" ht="15" thickBo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</row>
    <row r="360" spans="1:82" ht="15" thickBo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</row>
    <row r="361" spans="1:82" ht="15" thickBo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</row>
    <row r="362" spans="1:82" ht="15" thickBo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</row>
    <row r="363" spans="1:82" ht="15" thickBo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</row>
    <row r="364" spans="1:82" ht="15" thickBo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</row>
    <row r="365" spans="1:82" ht="15" thickBo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</row>
    <row r="366" spans="1:82" ht="15" thickBo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</row>
    <row r="367" spans="1:82" ht="15" thickBo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</row>
    <row r="368" spans="1:82" ht="15" thickBo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</row>
    <row r="369" spans="1:82" ht="15" thickBo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</row>
    <row r="370" spans="1:82" ht="15" thickBo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</row>
    <row r="371" spans="1:82" ht="15" thickBo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</row>
    <row r="372" spans="1:82" ht="15" thickBo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</row>
    <row r="373" spans="1:82" ht="15" thickBo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</row>
    <row r="374" spans="1:82" ht="15" thickBo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</row>
    <row r="375" spans="1:82" ht="15" thickBo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</row>
    <row r="376" spans="1:82" ht="15" thickBo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</row>
    <row r="377" spans="1:82" ht="15" thickBo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</row>
    <row r="378" spans="1:82" ht="15" thickBo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</row>
    <row r="379" spans="1:82" ht="15" thickBo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</row>
    <row r="380" spans="1:82" ht="15" thickBo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</row>
    <row r="381" spans="1:82" ht="15" thickBo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</row>
    <row r="382" spans="1:82" ht="15" thickBo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</row>
    <row r="383" spans="1:82" ht="15" thickBo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</row>
    <row r="384" spans="1:82" ht="15" thickBo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</row>
    <row r="385" spans="1:82" ht="15" thickBo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</row>
    <row r="386" spans="1:82" ht="15" thickBo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</row>
    <row r="387" spans="1:82" ht="15" thickBo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</row>
    <row r="388" spans="1:82" ht="15" thickBo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</row>
    <row r="389" spans="1:82" ht="15" thickBo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</row>
    <row r="390" spans="1:82" ht="15" thickBo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</row>
    <row r="391" spans="1:82" ht="15" thickBo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</row>
    <row r="392" spans="1:82" ht="15" thickBo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</row>
    <row r="393" spans="1:82" ht="15" thickBo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</row>
    <row r="394" spans="1:82" ht="15" thickBo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</row>
    <row r="395" spans="1:82" ht="15" thickBo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</row>
    <row r="396" spans="1:82" ht="15" thickBo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</row>
    <row r="397" spans="1:82" ht="15" thickBo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</row>
    <row r="398" spans="1:82" ht="15" thickBo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</row>
    <row r="399" spans="1:82" ht="15" thickBo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</row>
    <row r="400" spans="1:82" ht="15" thickBo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</row>
    <row r="401" spans="1:82" ht="15" thickBo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</row>
    <row r="402" spans="1:82" ht="15" thickBo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</row>
    <row r="403" spans="1:82" ht="15" thickBo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</row>
    <row r="404" spans="1:82" ht="15" thickBo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</row>
    <row r="405" spans="1:82" ht="15" thickBo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</row>
    <row r="406" spans="1:82" ht="15" thickBo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</row>
    <row r="407" spans="1:82" ht="15" thickBo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</row>
    <row r="408" spans="1:82" ht="15" thickBo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</row>
    <row r="409" spans="1:82" ht="15" thickBo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</row>
    <row r="410" spans="1:82" ht="15" thickBo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</row>
    <row r="411" spans="1:82" ht="15" thickBo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</row>
    <row r="412" spans="1:82" ht="15" thickBo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</row>
    <row r="413" spans="1:82" ht="15" thickBo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</row>
    <row r="414" spans="1:82" ht="15" thickBo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</row>
    <row r="415" spans="1:82" ht="15" thickBo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</row>
    <row r="416" spans="1:82" ht="15" thickBo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</row>
    <row r="417" spans="1:82" ht="15" thickBo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</row>
    <row r="418" spans="1:82" ht="15" thickBo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</row>
    <row r="419" spans="1:82" ht="15" thickBo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</row>
    <row r="420" spans="1:82" ht="15" thickBo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</row>
    <row r="421" spans="1:82" ht="15" thickBo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</row>
    <row r="422" spans="1:82" ht="15" thickBo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</row>
    <row r="423" spans="1:82" ht="15" thickBo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</row>
    <row r="424" spans="1:82" ht="15" thickBo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</row>
    <row r="425" spans="1:82" ht="15" thickBo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</row>
    <row r="426" spans="1:82" ht="15" thickBo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</row>
    <row r="427" spans="1:82" ht="15" thickBo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</row>
    <row r="428" spans="1:82" ht="15" thickBo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</row>
    <row r="429" spans="1:82" ht="15" thickBo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</row>
    <row r="430" spans="1:82" ht="15" thickBo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</row>
    <row r="431" spans="1:82" ht="15" thickBo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</row>
    <row r="432" spans="1:82" ht="15" thickBo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</row>
    <row r="433" spans="1:82" ht="15" thickBo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</row>
    <row r="434" spans="1:82" ht="15" thickBo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</row>
    <row r="435" spans="1:82" ht="15" thickBo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</row>
    <row r="436" spans="1:82" ht="15" thickBo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</row>
    <row r="437" spans="1:82" ht="15" thickBo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</row>
    <row r="438" spans="1:82" ht="15" thickBo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</row>
    <row r="439" spans="1:82" ht="15" thickBo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</row>
    <row r="440" spans="1:82" ht="15" thickBo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</row>
    <row r="441" spans="1:82" ht="15" thickBo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</row>
    <row r="442" spans="1:82" ht="15" thickBo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</row>
    <row r="443" spans="1:82" ht="15" thickBo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</row>
    <row r="444" spans="1:82" ht="15" thickBo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</row>
    <row r="445" spans="1:82" ht="15" thickBo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</row>
    <row r="446" spans="1:82" ht="15" thickBo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</row>
    <row r="447" spans="1:82" ht="15" thickBo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</row>
    <row r="448" spans="1:82" ht="15" thickBo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</row>
    <row r="449" spans="1:82" ht="15" thickBo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</row>
    <row r="450" spans="1:82" ht="15" thickBo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</row>
    <row r="451" spans="1:82" ht="15" thickBo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</row>
    <row r="452" spans="1:82" ht="15" thickBo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</row>
    <row r="453" spans="1:82" ht="15" thickBo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</row>
    <row r="454" spans="1:82" ht="15" thickBo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</row>
    <row r="455" spans="1:82" ht="15" thickBo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</row>
    <row r="456" spans="1:82" ht="15" thickBo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</row>
    <row r="457" spans="1:82" ht="15" thickBo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</row>
    <row r="458" spans="1:82" ht="15" thickBo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</row>
    <row r="459" spans="1:82" ht="15" thickBo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</row>
    <row r="460" spans="1:82" ht="15" thickBo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</row>
    <row r="461" spans="1:82" ht="15" thickBo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</row>
    <row r="462" spans="1:82" ht="15" thickBo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</row>
    <row r="463" spans="1:82" ht="15" thickBo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</row>
    <row r="464" spans="1:82" ht="15" thickBo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</row>
    <row r="465" spans="1:82" ht="15" thickBo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</row>
    <row r="466" spans="1:82" ht="15" thickBo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</row>
    <row r="467" spans="1:82" ht="15" thickBo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</row>
    <row r="468" spans="1:82" ht="15" thickBo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</row>
    <row r="469" spans="1:82" ht="15" thickBo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</row>
    <row r="470" spans="1:82" ht="15" thickBo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</row>
    <row r="471" spans="1:82" ht="15" thickBo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</row>
    <row r="472" spans="1:82" ht="15" thickBo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</row>
    <row r="473" spans="1:82" ht="15" thickBo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</row>
    <row r="474" spans="1:82" ht="15" thickBo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</row>
    <row r="475" spans="1:82" ht="15" thickBo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</row>
    <row r="476" spans="1:82" ht="15" thickBo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</row>
    <row r="477" spans="1:82" ht="15" thickBo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</row>
    <row r="478" spans="1:82" ht="15" thickBo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</row>
    <row r="479" spans="1:82" ht="15" thickBo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</row>
    <row r="480" spans="1:82" ht="15" thickBo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</row>
    <row r="481" spans="1:82" ht="15" thickBo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</row>
    <row r="482" spans="1:82" ht="15" thickBo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</row>
    <row r="483" spans="1:82" ht="15" thickBo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</row>
    <row r="484" spans="1:82" ht="15" thickBo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</row>
    <row r="485" spans="1:82" ht="15" thickBo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</row>
    <row r="486" spans="1:82" ht="15" thickBo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</row>
    <row r="487" spans="1:82" ht="15" thickBo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</row>
    <row r="488" spans="1:82" ht="15" thickBo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</row>
    <row r="489" spans="1:82" ht="15" thickBo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</row>
    <row r="490" spans="1:82" ht="15" thickBo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</row>
    <row r="491" spans="1:82" ht="15" thickBo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</row>
    <row r="492" spans="1:82" ht="15" thickBo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</row>
    <row r="493" spans="1:82" ht="15" thickBo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</row>
    <row r="494" spans="1:82" ht="15" thickBo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</row>
    <row r="495" spans="1:82" ht="15" thickBo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</row>
    <row r="496" spans="1:82" ht="15" thickBo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</row>
    <row r="497" spans="1:82" ht="15" thickBo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</row>
    <row r="498" spans="1:82" ht="15" thickBo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</row>
    <row r="499" spans="1:82" ht="15" thickBo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</row>
    <row r="500" spans="1:82" ht="15" thickBo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</row>
    <row r="501" spans="1:82" ht="15" thickBo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</row>
    <row r="502" spans="1:82" ht="15" thickBo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</row>
    <row r="503" spans="1:82" ht="15" thickBo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</row>
    <row r="504" spans="1:82" ht="15" thickBo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</row>
    <row r="505" spans="1:82" ht="15" thickBo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</row>
    <row r="506" spans="1:82" ht="15" thickBo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</row>
    <row r="507" spans="1:82" ht="15" thickBo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</row>
    <row r="508" spans="1:82" ht="15" thickBo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</row>
    <row r="509" spans="1:82" ht="15" thickBo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</row>
    <row r="510" spans="1:82" ht="15" thickBo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</row>
    <row r="511" spans="1:82" ht="15" thickBo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</row>
    <row r="512" spans="1:82" ht="15" thickBo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</row>
    <row r="513" spans="1:82" ht="15" thickBo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</row>
    <row r="514" spans="1:82" ht="15" thickBo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</row>
    <row r="515" spans="1:82" ht="15" thickBo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</row>
    <row r="516" spans="1:82" ht="15" thickBo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</row>
    <row r="517" spans="1:82" ht="15" thickBo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</row>
    <row r="518" spans="1:82" ht="15" thickBo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</row>
    <row r="519" spans="1:82" ht="15" thickBo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</row>
    <row r="520" spans="1:82" ht="15" thickBo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</row>
    <row r="521" spans="1:82" ht="15" thickBo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</row>
    <row r="522" spans="1:82" ht="15" thickBo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</row>
    <row r="523" spans="1:82" ht="15" thickBo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</row>
    <row r="524" spans="1:82" ht="15" thickBo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</row>
    <row r="525" spans="1:82" ht="15" thickBo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</row>
    <row r="526" spans="1:82" ht="15" thickBo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</row>
    <row r="527" spans="1:82" ht="15" thickBo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</row>
    <row r="528" spans="1:82" ht="15" thickBo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</row>
    <row r="529" spans="1:82" ht="15" thickBo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</row>
    <row r="530" spans="1:82" ht="15" thickBo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</row>
    <row r="531" spans="1:82" ht="15" thickBo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</row>
    <row r="532" spans="1:82" ht="15" thickBo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</row>
    <row r="533" spans="1:82" ht="15" thickBo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</row>
    <row r="534" spans="1:82" ht="15" thickBo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</row>
    <row r="535" spans="1:82" ht="15" thickBo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</row>
    <row r="536" spans="1:82" ht="15" thickBo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</row>
    <row r="537" spans="1:82" ht="15" thickBo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</row>
    <row r="538" spans="1:82" ht="15" thickBo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</row>
    <row r="539" spans="1:82" ht="15" thickBo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</row>
    <row r="540" spans="1:82" ht="15" thickBo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</row>
    <row r="541" spans="1:82" ht="15" thickBo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</row>
    <row r="542" spans="1:82" ht="15" thickBo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</row>
    <row r="543" spans="1:82" ht="15" thickBo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</row>
    <row r="544" spans="1:82" ht="15" thickBo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</row>
    <row r="545" spans="1:82" ht="15" thickBo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</row>
    <row r="546" spans="1:82" ht="15" thickBo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</row>
    <row r="547" spans="1:82" ht="15" thickBo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</row>
    <row r="548" spans="1:82" ht="15" thickBo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</row>
    <row r="549" spans="1:82" ht="15" thickBo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</row>
    <row r="550" spans="1:82" ht="15" thickBo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</row>
    <row r="551" spans="1:82" ht="15" thickBo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</row>
    <row r="552" spans="1:82" ht="15" thickBo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</row>
    <row r="553" spans="1:82" ht="15" thickBo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</row>
    <row r="554" spans="1:82" ht="15" thickBo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</row>
    <row r="555" spans="1:82" ht="15" thickBo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</row>
    <row r="556" spans="1:82" ht="15" thickBo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</row>
    <row r="557" spans="1:82" ht="15" thickBo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</row>
    <row r="558" spans="1:82" ht="15" thickBo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</row>
    <row r="559" spans="1:82" ht="15" thickBo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</row>
    <row r="560" spans="1:82" ht="15" thickBo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</row>
    <row r="561" spans="1:82" ht="15" thickBo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</row>
    <row r="562" spans="1:82" ht="15" thickBo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</row>
    <row r="563" spans="1:82" ht="15" thickBo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</row>
    <row r="564" spans="1:82" ht="15" thickBo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</row>
    <row r="565" spans="1:82" ht="15" thickBo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</row>
    <row r="566" spans="1:82" ht="15" thickBo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</row>
    <row r="567" spans="1:82" ht="15" thickBo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</row>
    <row r="568" spans="1:82" ht="15" thickBo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</row>
    <row r="569" spans="1:82" ht="15" thickBo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</row>
    <row r="570" spans="1:82" ht="15" thickBo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</row>
    <row r="571" spans="1:82" ht="15" thickBo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</row>
    <row r="572" spans="1:82" ht="15" thickBo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</row>
    <row r="573" spans="1:82" ht="15" thickBo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</row>
    <row r="574" spans="1:82" ht="15" thickBo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</row>
    <row r="575" spans="1:82" ht="15" thickBo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</row>
    <row r="576" spans="1:82" ht="15" thickBo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</row>
    <row r="577" spans="1:82" ht="15" thickBo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</row>
    <row r="578" spans="1:82" ht="15" thickBo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</row>
    <row r="579" spans="1:82" ht="15" thickBo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</row>
    <row r="580" spans="1:82" ht="15" thickBo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</row>
    <row r="581" spans="1:82" ht="15" thickBo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</row>
    <row r="582" spans="1:82" ht="15" thickBo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</row>
    <row r="583" spans="1:82" ht="15" thickBo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</row>
    <row r="584" spans="1:82" ht="15" thickBo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</row>
    <row r="585" spans="1:82" ht="15" thickBo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</row>
    <row r="586" spans="1:82" ht="15" thickBo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</row>
    <row r="587" spans="1:82" ht="15" thickBo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</row>
    <row r="588" spans="1:82" ht="15" thickBo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</row>
    <row r="589" spans="1:82" ht="15" thickBo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</row>
    <row r="590" spans="1:82" ht="15" thickBo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</row>
    <row r="591" spans="1:82" ht="15" thickBo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</row>
    <row r="592" spans="1:82" ht="15" thickBo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</row>
    <row r="593" spans="1:82" ht="15" thickBo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</row>
    <row r="594" spans="1:82" ht="15" thickBo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</row>
    <row r="595" spans="1:82" ht="15" thickBo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</row>
    <row r="596" spans="1:82" ht="15" thickBo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</row>
    <row r="597" spans="1:82" ht="15" thickBo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</row>
    <row r="598" spans="1:82" ht="15" thickBo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</row>
    <row r="599" spans="1:82" ht="15" thickBo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</row>
    <row r="600" spans="1:82" ht="15" thickBo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</row>
    <row r="601" spans="1:82" ht="15" thickBo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</row>
    <row r="602" spans="1:82" ht="15" thickBo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</row>
    <row r="603" spans="1:82" ht="15" thickBo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</row>
    <row r="604" spans="1:82" ht="15" thickBo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</row>
    <row r="605" spans="1:82" ht="15" thickBo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</row>
    <row r="606" spans="1:82" ht="15" thickBo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</row>
    <row r="607" spans="1:82" ht="15" thickBo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</row>
    <row r="608" spans="1:82" ht="15" thickBo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</row>
    <row r="609" spans="1:82" ht="15" thickBo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</row>
    <row r="610" spans="1:82" ht="15" thickBo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</row>
    <row r="611" spans="1:82" ht="15" thickBo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</row>
    <row r="612" spans="1:82" ht="15" thickBo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</row>
    <row r="613" spans="1:82" ht="15" thickBo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</row>
  </sheetData>
  <mergeCells count="704">
    <mergeCell ref="C18:C20"/>
    <mergeCell ref="AF20:AG20"/>
    <mergeCell ref="BL5:BM5"/>
    <mergeCell ref="BB5:BC5"/>
    <mergeCell ref="BD5:BE5"/>
    <mergeCell ref="BF5:BG5"/>
    <mergeCell ref="BH5:BI5"/>
    <mergeCell ref="BJ5:BK5"/>
    <mergeCell ref="AR5:AS5"/>
    <mergeCell ref="AT5:AU5"/>
    <mergeCell ref="AV5:AW5"/>
    <mergeCell ref="AX5:AY5"/>
    <mergeCell ref="AZ5:BA5"/>
    <mergeCell ref="AH5:AI5"/>
    <mergeCell ref="AJ5:AK5"/>
    <mergeCell ref="AL5:AM5"/>
    <mergeCell ref="AN5:AO5"/>
    <mergeCell ref="AP5:AQ5"/>
    <mergeCell ref="AH8:AI8"/>
    <mergeCell ref="AJ8:AK8"/>
    <mergeCell ref="AL8:AM8"/>
    <mergeCell ref="AN8:AO8"/>
    <mergeCell ref="AP8:AQ8"/>
    <mergeCell ref="AR8:AS8"/>
    <mergeCell ref="AT8:AU8"/>
    <mergeCell ref="D5:E5"/>
    <mergeCell ref="F5:G5"/>
    <mergeCell ref="H5:I5"/>
    <mergeCell ref="J5:K5"/>
    <mergeCell ref="L5:M5"/>
    <mergeCell ref="BD4:BE4"/>
    <mergeCell ref="BF4:BG4"/>
    <mergeCell ref="BH4:BI4"/>
    <mergeCell ref="BJ4:BK4"/>
    <mergeCell ref="Z4:AA4"/>
    <mergeCell ref="AB4:AC4"/>
    <mergeCell ref="AD4:AE4"/>
    <mergeCell ref="AF4:AG4"/>
    <mergeCell ref="AH4:AI4"/>
    <mergeCell ref="X5:Y5"/>
    <mergeCell ref="Z5:AA5"/>
    <mergeCell ref="AB5:AC5"/>
    <mergeCell ref="AD5:AE5"/>
    <mergeCell ref="AF5:AG5"/>
    <mergeCell ref="N5:O5"/>
    <mergeCell ref="P5:Q5"/>
    <mergeCell ref="R5:S5"/>
    <mergeCell ref="T5:U5"/>
    <mergeCell ref="V5:W5"/>
    <mergeCell ref="BL4:BM4"/>
    <mergeCell ref="AT4:AU4"/>
    <mergeCell ref="AV4:AW4"/>
    <mergeCell ref="AX4:AY4"/>
    <mergeCell ref="AZ4:BA4"/>
    <mergeCell ref="BB4:BC4"/>
    <mergeCell ref="AJ4:AK4"/>
    <mergeCell ref="AL4:AM4"/>
    <mergeCell ref="AN4:AO4"/>
    <mergeCell ref="AP4:AQ4"/>
    <mergeCell ref="AR4:AS4"/>
    <mergeCell ref="BH3:BI3"/>
    <mergeCell ref="BJ3:BK3"/>
    <mergeCell ref="BL3:BM3"/>
    <mergeCell ref="A4:B5"/>
    <mergeCell ref="C4:C5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AB3:AC3"/>
    <mergeCell ref="AD3:AE3"/>
    <mergeCell ref="AF3:AG3"/>
    <mergeCell ref="AH3:AI3"/>
    <mergeCell ref="AJ3:AK3"/>
    <mergeCell ref="BD3:BE3"/>
    <mergeCell ref="BF3:BG3"/>
    <mergeCell ref="AL3:AM3"/>
    <mergeCell ref="AA1:AB1"/>
    <mergeCell ref="AH1:AI1"/>
    <mergeCell ref="BH2:BI2"/>
    <mergeCell ref="BJ2:BK2"/>
    <mergeCell ref="BL2:BM2"/>
    <mergeCell ref="A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X2:AY2"/>
    <mergeCell ref="AZ2:BA2"/>
    <mergeCell ref="BB2:BC2"/>
    <mergeCell ref="BD2:BE2"/>
    <mergeCell ref="BF2:BG2"/>
    <mergeCell ref="AN2:AO2"/>
    <mergeCell ref="A1:C1"/>
    <mergeCell ref="D1:G1"/>
    <mergeCell ref="Q1:R1"/>
    <mergeCell ref="T1:U1"/>
    <mergeCell ref="X1:Y1"/>
    <mergeCell ref="A2:C2"/>
    <mergeCell ref="D2:E2"/>
    <mergeCell ref="F2:G2"/>
    <mergeCell ref="H2:I2"/>
    <mergeCell ref="J2:K2"/>
    <mergeCell ref="L2:M2"/>
    <mergeCell ref="N2:O2"/>
    <mergeCell ref="P2:Q2"/>
    <mergeCell ref="R2:S2"/>
    <mergeCell ref="AN3:AO3"/>
    <mergeCell ref="AP3:AQ3"/>
    <mergeCell ref="AR3:AS3"/>
    <mergeCell ref="AT3:AU3"/>
    <mergeCell ref="AV3:AW3"/>
    <mergeCell ref="AX3:AY3"/>
    <mergeCell ref="AZ3:BA3"/>
    <mergeCell ref="BB3:BC3"/>
    <mergeCell ref="T2:U2"/>
    <mergeCell ref="V2:W2"/>
    <mergeCell ref="X2:Y2"/>
    <mergeCell ref="Z2:AA2"/>
    <mergeCell ref="AB2:AC2"/>
    <mergeCell ref="AT2:AU2"/>
    <mergeCell ref="AV2:AW2"/>
    <mergeCell ref="AD2:AE2"/>
    <mergeCell ref="AF2:AG2"/>
    <mergeCell ref="AH2:AI2"/>
    <mergeCell ref="AJ2:AK2"/>
    <mergeCell ref="AL2:AM2"/>
    <mergeCell ref="AP2:AQ2"/>
    <mergeCell ref="AR2:AS2"/>
    <mergeCell ref="A6:A7"/>
    <mergeCell ref="B6:B8"/>
    <mergeCell ref="C6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V8:AW8"/>
    <mergeCell ref="AX8:AY8"/>
    <mergeCell ref="AZ8:BA8"/>
    <mergeCell ref="BB8:BC8"/>
    <mergeCell ref="BD8:BE8"/>
    <mergeCell ref="BF8:BG8"/>
    <mergeCell ref="BH8:BI8"/>
    <mergeCell ref="BJ8:BK8"/>
    <mergeCell ref="BL8:BM8"/>
    <mergeCell ref="A9:A10"/>
    <mergeCell ref="B9:B11"/>
    <mergeCell ref="C9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A12:A13"/>
    <mergeCell ref="B12:B14"/>
    <mergeCell ref="C12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A15:A16"/>
    <mergeCell ref="B15:B17"/>
    <mergeCell ref="C15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Z17:BA17"/>
    <mergeCell ref="BB17:BC17"/>
    <mergeCell ref="BD17:BE17"/>
    <mergeCell ref="BF17:BG17"/>
    <mergeCell ref="BH17:BI17"/>
    <mergeCell ref="BJ17:BK17"/>
    <mergeCell ref="BL17:BM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BH20:BI20"/>
    <mergeCell ref="BJ20:BK20"/>
    <mergeCell ref="BL20:BM20"/>
    <mergeCell ref="A21:A22"/>
    <mergeCell ref="B21:B23"/>
    <mergeCell ref="C21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L20:AM20"/>
    <mergeCell ref="AN20:AO20"/>
    <mergeCell ref="AP20:AQ20"/>
    <mergeCell ref="AR20:AS20"/>
    <mergeCell ref="AT20:AU20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AZ23:BA23"/>
    <mergeCell ref="BB23:BC23"/>
    <mergeCell ref="BD23:BE23"/>
    <mergeCell ref="BF23:BG23"/>
    <mergeCell ref="BH23:BI23"/>
    <mergeCell ref="BJ23:BK23"/>
    <mergeCell ref="BL23:BM23"/>
    <mergeCell ref="A24:A25"/>
    <mergeCell ref="B24:B26"/>
    <mergeCell ref="C24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BJ26:BK26"/>
    <mergeCell ref="BL26:BM26"/>
    <mergeCell ref="A27:A28"/>
    <mergeCell ref="B27:B29"/>
    <mergeCell ref="C27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A36:A37"/>
    <mergeCell ref="B36:B38"/>
    <mergeCell ref="C36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A42:A43"/>
    <mergeCell ref="B42:B44"/>
    <mergeCell ref="C42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W44"/>
    <mergeCell ref="AX44:AY44"/>
    <mergeCell ref="AZ44:BA44"/>
    <mergeCell ref="BB44:BC44"/>
    <mergeCell ref="BD44:BE44"/>
    <mergeCell ref="BF44:BG44"/>
    <mergeCell ref="BH44:BI44"/>
    <mergeCell ref="BJ44:BK44"/>
    <mergeCell ref="BL44:BM44"/>
    <mergeCell ref="A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AX45:AY45"/>
    <mergeCell ref="AZ45:BA45"/>
    <mergeCell ref="BB45:BC45"/>
    <mergeCell ref="BD45:BE45"/>
    <mergeCell ref="BF45:BG45"/>
    <mergeCell ref="BH45:BI45"/>
    <mergeCell ref="BJ45:BK45"/>
    <mergeCell ref="BL45:BM45"/>
    <mergeCell ref="A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A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A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A30:A31"/>
    <mergeCell ref="B30:B32"/>
    <mergeCell ref="C30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A33:A34"/>
    <mergeCell ref="B33:B35"/>
    <mergeCell ref="C33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BD35:BE35"/>
    <mergeCell ref="BF35:BG35"/>
    <mergeCell ref="BH35:BI35"/>
    <mergeCell ref="BJ35:BK35"/>
    <mergeCell ref="BL35:BM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20:BE20"/>
    <mergeCell ref="BF20:BG20"/>
    <mergeCell ref="B18:B20"/>
    <mergeCell ref="A18:A19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X20:Y20"/>
    <mergeCell ref="V20:W20"/>
    <mergeCell ref="AV20:AW20"/>
    <mergeCell ref="AX20:AY20"/>
    <mergeCell ref="AZ20:BA20"/>
    <mergeCell ref="BB20:BC20"/>
    <mergeCell ref="AJ20:AK20"/>
    <mergeCell ref="AH20:AI20"/>
    <mergeCell ref="Z20:AA20"/>
    <mergeCell ref="AB20:AC20"/>
    <mergeCell ref="AD20:AE20"/>
    <mergeCell ref="AP41:AQ41"/>
    <mergeCell ref="AR41:AS41"/>
    <mergeCell ref="AT41:AU41"/>
    <mergeCell ref="AV41:AW41"/>
    <mergeCell ref="AX41:AY41"/>
    <mergeCell ref="AZ41:BA41"/>
    <mergeCell ref="BB41:BC41"/>
    <mergeCell ref="A39:A40"/>
    <mergeCell ref="B39:B41"/>
    <mergeCell ref="BD41:BE41"/>
    <mergeCell ref="BF41:BG41"/>
    <mergeCell ref="BH41:BI41"/>
    <mergeCell ref="BJ41:BK41"/>
    <mergeCell ref="BL41:BM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</mergeCells>
  <phoneticPr fontId="1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C95C-1C7F-4E01-9D48-4360E691BB14}">
  <dimension ref="A1:CC606"/>
  <sheetViews>
    <sheetView zoomScale="85" zoomScaleNormal="85" workbookViewId="0">
      <selection activeCell="D8" sqref="D8:E8"/>
    </sheetView>
  </sheetViews>
  <sheetFormatPr defaultRowHeight="14.5"/>
  <cols>
    <col min="1" max="2" width="10.59765625" customWidth="1"/>
    <col min="3" max="3" width="6.59765625" customWidth="1"/>
    <col min="4" max="13" width="7.09765625" customWidth="1"/>
    <col min="14" max="65" width="6.59765625" customWidth="1"/>
  </cols>
  <sheetData>
    <row r="1" spans="1:81" ht="15" thickBot="1">
      <c r="A1" s="142" t="s">
        <v>101</v>
      </c>
      <c r="B1" s="143"/>
      <c r="C1" s="143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4"/>
      <c r="BB1" s="144"/>
      <c r="BC1" s="144"/>
      <c r="BD1" s="144"/>
      <c r="BE1" s="144"/>
      <c r="BF1" s="144"/>
      <c r="BG1" s="144"/>
      <c r="BH1" s="144"/>
      <c r="BI1" s="144"/>
      <c r="BJ1" s="144"/>
      <c r="BK1" s="144"/>
      <c r="BL1" s="144"/>
      <c r="BM1" s="14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</row>
    <row r="2" spans="1:81" ht="26.4" customHeight="1" thickBot="1">
      <c r="A2" s="144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44"/>
      <c r="BG2" s="144"/>
      <c r="BH2" s="144"/>
      <c r="BI2" s="144"/>
      <c r="BJ2" s="144"/>
      <c r="BK2" s="144"/>
      <c r="BL2" s="144"/>
      <c r="BM2" s="14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</row>
    <row r="3" spans="1:81" ht="26.4" customHeight="1" thickBot="1">
      <c r="A3" s="144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4"/>
      <c r="BF3" s="144"/>
      <c r="BG3" s="144"/>
      <c r="BH3" s="144"/>
      <c r="BI3" s="144"/>
      <c r="BJ3" s="144"/>
      <c r="BK3" s="144"/>
      <c r="BL3" s="144"/>
      <c r="BM3" s="144"/>
      <c r="BN3" s="53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ht="27.65" customHeight="1" thickBot="1">
      <c r="A4" s="159" t="str">
        <f>整月外場班表!A4</f>
        <v>白霧時光               板橋傑仕堡</v>
      </c>
      <c r="B4" s="160"/>
      <c r="C4" s="163"/>
      <c r="D4" s="153">
        <f>整月外場班表!D4</f>
        <v>46204</v>
      </c>
      <c r="E4" s="154"/>
      <c r="F4" s="165">
        <f>D4+1</f>
        <v>46205</v>
      </c>
      <c r="G4" s="154"/>
      <c r="H4" s="157">
        <f>F4+1</f>
        <v>46206</v>
      </c>
      <c r="I4" s="158"/>
      <c r="J4" s="157">
        <f>H4+1</f>
        <v>46207</v>
      </c>
      <c r="K4" s="158"/>
      <c r="L4" s="157">
        <f>J4+1</f>
        <v>46208</v>
      </c>
      <c r="M4" s="158"/>
      <c r="N4" s="157">
        <f>L4+1</f>
        <v>46209</v>
      </c>
      <c r="O4" s="158"/>
      <c r="P4" s="157">
        <f>N4+1</f>
        <v>46210</v>
      </c>
      <c r="Q4" s="158"/>
      <c r="R4" s="153">
        <f>P4+1</f>
        <v>46211</v>
      </c>
      <c r="S4" s="154"/>
      <c r="T4" s="153">
        <f>R4+1</f>
        <v>46212</v>
      </c>
      <c r="U4" s="154"/>
      <c r="V4" s="157">
        <f>T4+1</f>
        <v>46213</v>
      </c>
      <c r="W4" s="158"/>
      <c r="X4" s="157">
        <f>V4+1</f>
        <v>46214</v>
      </c>
      <c r="Y4" s="158"/>
      <c r="Z4" s="157">
        <f>X4+1</f>
        <v>46215</v>
      </c>
      <c r="AA4" s="158"/>
      <c r="AB4" s="157">
        <f>Z4+1</f>
        <v>46216</v>
      </c>
      <c r="AC4" s="158"/>
      <c r="AD4" s="157">
        <f>AB4+1</f>
        <v>46217</v>
      </c>
      <c r="AE4" s="158"/>
      <c r="AF4" s="153">
        <f>AD4+1</f>
        <v>46218</v>
      </c>
      <c r="AG4" s="154"/>
      <c r="AH4" s="153">
        <f>AF4+1</f>
        <v>46219</v>
      </c>
      <c r="AI4" s="154"/>
      <c r="AJ4" s="157">
        <f>AH4+1</f>
        <v>46220</v>
      </c>
      <c r="AK4" s="158"/>
      <c r="AL4" s="157">
        <f>AJ4+1</f>
        <v>46221</v>
      </c>
      <c r="AM4" s="158"/>
      <c r="AN4" s="157">
        <f>AL4+1</f>
        <v>46222</v>
      </c>
      <c r="AO4" s="158"/>
      <c r="AP4" s="157">
        <f>AN4+1</f>
        <v>46223</v>
      </c>
      <c r="AQ4" s="158"/>
      <c r="AR4" s="157">
        <f>AP4+1</f>
        <v>46224</v>
      </c>
      <c r="AS4" s="158"/>
      <c r="AT4" s="153">
        <f>AR4+1</f>
        <v>46225</v>
      </c>
      <c r="AU4" s="154"/>
      <c r="AV4" s="153">
        <f>AT4+1</f>
        <v>46226</v>
      </c>
      <c r="AW4" s="154"/>
      <c r="AX4" s="157">
        <f>AV4+1</f>
        <v>46227</v>
      </c>
      <c r="AY4" s="158"/>
      <c r="AZ4" s="157">
        <f>AX4+1</f>
        <v>46228</v>
      </c>
      <c r="BA4" s="158"/>
      <c r="BB4" s="157">
        <f>AZ4+1</f>
        <v>46229</v>
      </c>
      <c r="BC4" s="158"/>
      <c r="BD4" s="157">
        <f>BB4+1</f>
        <v>46230</v>
      </c>
      <c r="BE4" s="158"/>
      <c r="BF4" s="157">
        <f>BD4+1</f>
        <v>46231</v>
      </c>
      <c r="BG4" s="158"/>
      <c r="BH4" s="153">
        <f>BF4+1</f>
        <v>46232</v>
      </c>
      <c r="BI4" s="154"/>
      <c r="BJ4" s="153">
        <f>BH4+1</f>
        <v>46233</v>
      </c>
      <c r="BK4" s="154"/>
      <c r="BL4" s="149"/>
      <c r="BM4" s="150"/>
      <c r="BN4" s="21"/>
      <c r="BO4" s="21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ht="15.65" customHeight="1" thickBot="1">
      <c r="A5" s="161"/>
      <c r="B5" s="162"/>
      <c r="C5" s="164"/>
      <c r="D5" s="155" t="s">
        <v>88</v>
      </c>
      <c r="E5" s="156"/>
      <c r="F5" s="147" t="s">
        <v>89</v>
      </c>
      <c r="G5" s="148"/>
      <c r="H5" s="151" t="s">
        <v>90</v>
      </c>
      <c r="I5" s="152"/>
      <c r="J5" s="151" t="s">
        <v>91</v>
      </c>
      <c r="K5" s="152"/>
      <c r="L5" s="151" t="s">
        <v>92</v>
      </c>
      <c r="M5" s="152"/>
      <c r="N5" s="151" t="s">
        <v>93</v>
      </c>
      <c r="O5" s="152"/>
      <c r="P5" s="151" t="s">
        <v>94</v>
      </c>
      <c r="Q5" s="152"/>
      <c r="R5" s="147" t="s">
        <v>88</v>
      </c>
      <c r="S5" s="148"/>
      <c r="T5" s="147" t="s">
        <v>89</v>
      </c>
      <c r="U5" s="148"/>
      <c r="V5" s="151" t="s">
        <v>90</v>
      </c>
      <c r="W5" s="152"/>
      <c r="X5" s="151" t="s">
        <v>91</v>
      </c>
      <c r="Y5" s="152"/>
      <c r="Z5" s="151" t="s">
        <v>92</v>
      </c>
      <c r="AA5" s="152"/>
      <c r="AB5" s="151" t="s">
        <v>93</v>
      </c>
      <c r="AC5" s="152"/>
      <c r="AD5" s="151" t="s">
        <v>94</v>
      </c>
      <c r="AE5" s="152"/>
      <c r="AF5" s="147" t="s">
        <v>88</v>
      </c>
      <c r="AG5" s="148"/>
      <c r="AH5" s="147" t="s">
        <v>89</v>
      </c>
      <c r="AI5" s="148"/>
      <c r="AJ5" s="151" t="s">
        <v>90</v>
      </c>
      <c r="AK5" s="152"/>
      <c r="AL5" s="151" t="s">
        <v>91</v>
      </c>
      <c r="AM5" s="152"/>
      <c r="AN5" s="151" t="s">
        <v>92</v>
      </c>
      <c r="AO5" s="152"/>
      <c r="AP5" s="151" t="s">
        <v>93</v>
      </c>
      <c r="AQ5" s="152"/>
      <c r="AR5" s="151" t="s">
        <v>94</v>
      </c>
      <c r="AS5" s="152"/>
      <c r="AT5" s="147" t="s">
        <v>88</v>
      </c>
      <c r="AU5" s="148"/>
      <c r="AV5" s="147" t="s">
        <v>89</v>
      </c>
      <c r="AW5" s="148"/>
      <c r="AX5" s="151" t="s">
        <v>90</v>
      </c>
      <c r="AY5" s="152"/>
      <c r="AZ5" s="151" t="s">
        <v>91</v>
      </c>
      <c r="BA5" s="152"/>
      <c r="BB5" s="151" t="s">
        <v>92</v>
      </c>
      <c r="BC5" s="152"/>
      <c r="BD5" s="151" t="s">
        <v>93</v>
      </c>
      <c r="BE5" s="152"/>
      <c r="BF5" s="151" t="s">
        <v>94</v>
      </c>
      <c r="BG5" s="152"/>
      <c r="BH5" s="147" t="s">
        <v>88</v>
      </c>
      <c r="BI5" s="148"/>
      <c r="BJ5" s="147" t="s">
        <v>89</v>
      </c>
      <c r="BK5" s="148"/>
      <c r="BL5" s="149"/>
      <c r="BM5" s="150"/>
      <c r="BN5" s="21"/>
      <c r="BO5" s="21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ht="15" thickBot="1">
      <c r="A6" s="86"/>
      <c r="B6" s="145" t="str">
        <f>整月外場班表!B6</f>
        <v>張意昕</v>
      </c>
      <c r="C6" s="93"/>
      <c r="D6" s="23" t="str">
        <f>IF(MOD(整月外場班表!D6,1)=0,CONCATENATE(整月外場班表!D6,"00"),CONCATENATE(INT(整月外場班表!D6),"30"))</f>
        <v>00</v>
      </c>
      <c r="E6" s="24" t="str">
        <f>IF(MOD(整月外場班表!E6,1)=0,CONCATENATE(整月外場班表!E6,"00"),CONCATENATE(INT(整月外場班表!E6),"30"))</f>
        <v>00</v>
      </c>
      <c r="F6" s="23" t="str">
        <f>IF(MOD(整月外場班表!F6,1)=0,CONCATENATE(整月外場班表!F6,"00"),CONCATENATE(INT(整月外場班表!F6),"30"))</f>
        <v>00</v>
      </c>
      <c r="G6" s="24" t="str">
        <f>IF(MOD(整月外場班表!G6,1)=0,CONCATENATE(整月外場班表!G6,"00"),CONCATENATE(INT(整月外場班表!G6),"30"))</f>
        <v>00</v>
      </c>
      <c r="H6" s="23" t="str">
        <f>IF(MOD(整月外場班表!H6,1)=0,CONCATENATE(整月外場班表!H6,"00"),CONCATENATE(INT(整月外場班表!H6),"30"))</f>
        <v>00</v>
      </c>
      <c r="I6" s="24" t="str">
        <f>IF(MOD(整月外場班表!I6,1)=0,CONCATENATE(整月外場班表!I6,"00"),CONCATENATE(INT(整月外場班表!I6),"30"))</f>
        <v>00</v>
      </c>
      <c r="J6" s="23" t="str">
        <f>IF(MOD(整月外場班表!J6,1)=0,CONCATENATE(整月外場班表!J6,"00"),CONCATENATE(INT(整月外場班表!J6),"30"))</f>
        <v>00</v>
      </c>
      <c r="K6" s="24" t="str">
        <f>IF(MOD(整月外場班表!K6,1)=0,CONCATENATE(整月外場班表!K6,"00"),CONCATENATE(INT(整月外場班表!K6),"30"))</f>
        <v>00</v>
      </c>
      <c r="L6" s="23" t="str">
        <f>IF(MOD(整月外場班表!L6,1)=0,CONCATENATE(整月外場班表!L6,"00"),CONCATENATE(INT(整月外場班表!L6),"30"))</f>
        <v>00</v>
      </c>
      <c r="M6" s="24" t="str">
        <f>IF(MOD(整月外場班表!M6,1)=0,CONCATENATE(整月外場班表!M6,"00"),CONCATENATE(INT(整月外場班表!M6),"30"))</f>
        <v>00</v>
      </c>
      <c r="N6" s="23" t="str">
        <f>IF(MOD(整月外場班表!N6,1)=0,CONCATENATE(整月外場班表!N6,"00"),CONCATENATE(INT(整月外場班表!N6),"30"))</f>
        <v>00</v>
      </c>
      <c r="O6" s="24" t="str">
        <f>IF(MOD(整月外場班表!O6,1)=0,CONCATENATE(整月外場班表!O6,"00"),CONCATENATE(INT(整月外場班表!O6),"30"))</f>
        <v>00</v>
      </c>
      <c r="P6" s="23" t="str">
        <f>IF(MOD(整月外場班表!P6,1)=0,CONCATENATE(整月外場班表!P6,"00"),CONCATENATE(INT(整月外場班表!P6),"30"))</f>
        <v>00</v>
      </c>
      <c r="Q6" s="24" t="str">
        <f>IF(MOD(整月外場班表!Q6,1)=0,CONCATENATE(整月外場班表!Q6,"00"),CONCATENATE(INT(整月外場班表!Q6),"30"))</f>
        <v>00</v>
      </c>
      <c r="R6" s="23" t="str">
        <f>IF(MOD(整月外場班表!R6,1)=0,CONCATENATE(整月外場班表!R6,"00"),CONCATENATE(INT(整月外場班表!R6),"30"))</f>
        <v>00</v>
      </c>
      <c r="S6" s="24" t="str">
        <f>IF(MOD(整月外場班表!S6,1)=0,CONCATENATE(整月外場班表!S6,"00"),CONCATENATE(INT(整月外場班表!S6),"30"))</f>
        <v>00</v>
      </c>
      <c r="T6" s="23" t="str">
        <f>IF(MOD(整月外場班表!T6,1)=0,CONCATENATE(整月外場班表!T6,"00"),CONCATENATE(INT(整月外場班表!T6),"30"))</f>
        <v>00</v>
      </c>
      <c r="U6" s="24" t="str">
        <f>IF(MOD(整月外場班表!U6,1)=0,CONCATENATE(整月外場班表!U6,"00"),CONCATENATE(INT(整月外場班表!U6),"30"))</f>
        <v>00</v>
      </c>
      <c r="V6" s="23" t="str">
        <f>IF(MOD(整月外場班表!V6,1)=0,CONCATENATE(整月外場班表!V6,"00"),CONCATENATE(INT(整月外場班表!V6),"30"))</f>
        <v>00</v>
      </c>
      <c r="W6" s="24" t="str">
        <f>IF(MOD(整月外場班表!W6,1)=0,CONCATENATE(整月外場班表!W6,"00"),CONCATENATE(INT(整月外場班表!W6),"30"))</f>
        <v>00</v>
      </c>
      <c r="X6" s="23" t="str">
        <f>IF(MOD(整月外場班表!X6,1)=0,CONCATENATE(整月外場班表!X6,"00"),CONCATENATE(INT(整月外場班表!X6),"30"))</f>
        <v>00</v>
      </c>
      <c r="Y6" s="24" t="str">
        <f>IF(MOD(整月外場班表!Y6,1)=0,CONCATENATE(整月外場班表!Y6,"00"),CONCATENATE(INT(整月外場班表!Y6),"30"))</f>
        <v>00</v>
      </c>
      <c r="Z6" s="23" t="str">
        <f>IF(MOD(整月外場班表!Z6,1)=0,CONCATENATE(整月外場班表!Z6,"00"),CONCATENATE(INT(整月外場班表!Z6),"30"))</f>
        <v>00</v>
      </c>
      <c r="AA6" s="24" t="str">
        <f>IF(MOD(整月外場班表!AA6,1)=0,CONCATENATE(整月外場班表!AA6,"00"),CONCATENATE(INT(整月外場班表!AA6),"30"))</f>
        <v>00</v>
      </c>
      <c r="AB6" s="23" t="str">
        <f>IF(MOD(整月外場班表!AB6,1)=0,CONCATENATE(整月外場班表!AB6,"00"),CONCATENATE(INT(整月外場班表!AB6),"30"))</f>
        <v>00</v>
      </c>
      <c r="AC6" s="24" t="str">
        <f>IF(MOD(整月外場班表!AC6,1)=0,CONCATENATE(整月外場班表!AC6,"00"),CONCATENATE(INT(整月外場班表!AC6),"30"))</f>
        <v>00</v>
      </c>
      <c r="AD6" s="23" t="str">
        <f>IF(MOD(整月外場班表!AD6,1)=0,CONCATENATE(整月外場班表!AD6,"00"),CONCATENATE(INT(整月外場班表!AD6),"30"))</f>
        <v>00</v>
      </c>
      <c r="AE6" s="24" t="str">
        <f>IF(MOD(整月外場班表!AE6,1)=0,CONCATENATE(整月外場班表!AE6,"00"),CONCATENATE(INT(整月外場班表!AE6),"30"))</f>
        <v>00</v>
      </c>
      <c r="AF6" s="23" t="str">
        <f>IF(MOD(整月外場班表!AF6,1)=0,CONCATENATE(整月外場班表!AF6,"00"),CONCATENATE(INT(整月外場班表!AF6),"30"))</f>
        <v>00</v>
      </c>
      <c r="AG6" s="24" t="str">
        <f>IF(MOD(整月外場班表!AG6,1)=0,CONCATENATE(整月外場班表!AG6,"00"),CONCATENATE(INT(整月外場班表!AG6),"30"))</f>
        <v>00</v>
      </c>
      <c r="AH6" s="23" t="str">
        <f>IF(MOD(整月外場班表!AH6,1)=0,CONCATENATE(整月外場班表!AH6,"00"),CONCATENATE(INT(整月外場班表!AH6),"30"))</f>
        <v>00</v>
      </c>
      <c r="AI6" s="24" t="str">
        <f>IF(MOD(整月外場班表!AI6,1)=0,CONCATENATE(整月外場班表!AI6,"00"),CONCATENATE(INT(整月外場班表!AI6),"30"))</f>
        <v>00</v>
      </c>
      <c r="AJ6" s="23" t="str">
        <f>IF(MOD(整月外場班表!AJ6,1)=0,CONCATENATE(整月外場班表!AJ6,"00"),CONCATENATE(INT(整月外場班表!AJ6),"30"))</f>
        <v>00</v>
      </c>
      <c r="AK6" s="24" t="str">
        <f>IF(MOD(整月外場班表!AK6,1)=0,CONCATENATE(整月外場班表!AK6,"00"),CONCATENATE(INT(整月外場班表!AK6),"30"))</f>
        <v>00</v>
      </c>
      <c r="AL6" s="23" t="str">
        <f>IF(MOD(整月外場班表!AL6,1)=0,CONCATENATE(整月外場班表!AL6,"00"),CONCATENATE(INT(整月外場班表!AL6),"30"))</f>
        <v>00</v>
      </c>
      <c r="AM6" s="24" t="str">
        <f>IF(MOD(整月外場班表!AM6,1)=0,CONCATENATE(整月外場班表!AM6,"00"),CONCATENATE(INT(整月外場班表!AM6),"30"))</f>
        <v>00</v>
      </c>
      <c r="AN6" s="23" t="str">
        <f>IF(MOD(整月外場班表!AN6,1)=0,CONCATENATE(整月外場班表!AN6,"00"),CONCATENATE(INT(整月外場班表!AN6),"30"))</f>
        <v>00</v>
      </c>
      <c r="AO6" s="24" t="str">
        <f>IF(MOD(整月外場班表!AO6,1)=0,CONCATENATE(整月外場班表!AO6,"00"),CONCATENATE(INT(整月外場班表!AO6),"30"))</f>
        <v>00</v>
      </c>
      <c r="AP6" s="23" t="str">
        <f>IF(MOD(整月外場班表!AP6,1)=0,CONCATENATE(整月外場班表!AP6,"00"),CONCATENATE(INT(整月外場班表!AP6),"30"))</f>
        <v>00</v>
      </c>
      <c r="AQ6" s="24" t="str">
        <f>IF(MOD(整月外場班表!AQ6,1)=0,CONCATENATE(整月外場班表!AQ6,"00"),CONCATENATE(INT(整月外場班表!AQ6),"30"))</f>
        <v>00</v>
      </c>
      <c r="AR6" s="23" t="str">
        <f>IF(MOD(整月外場班表!AR6,1)=0,CONCATENATE(整月外場班表!AR6,"00"),CONCATENATE(INT(整月外場班表!AR6),"30"))</f>
        <v>00</v>
      </c>
      <c r="AS6" s="24" t="str">
        <f>IF(MOD(整月外場班表!AS6,1)=0,CONCATENATE(整月外場班表!AS6,"00"),CONCATENATE(INT(整月外場班表!AS6),"30"))</f>
        <v>00</v>
      </c>
      <c r="AT6" s="23" t="str">
        <f>IF(MOD(整月外場班表!AT6,1)=0,CONCATENATE(整月外場班表!AT6,"00"),CONCATENATE(INT(整月外場班表!AT6),"30"))</f>
        <v>00</v>
      </c>
      <c r="AU6" s="24" t="str">
        <f>IF(MOD(整月外場班表!AU6,1)=0,CONCATENATE(整月外場班表!AU6,"00"),CONCATENATE(INT(整月外場班表!AU6),"30"))</f>
        <v>00</v>
      </c>
      <c r="AV6" s="23" t="str">
        <f>IF(MOD(整月外場班表!AV6,1)=0,CONCATENATE(整月外場班表!AV6,"00"),CONCATENATE(INT(整月外場班表!AV6),"30"))</f>
        <v>00</v>
      </c>
      <c r="AW6" s="24" t="str">
        <f>IF(MOD(整月外場班表!AW6,1)=0,CONCATENATE(整月外場班表!AW6,"00"),CONCATENATE(INT(整月外場班表!AW6),"30"))</f>
        <v>00</v>
      </c>
      <c r="AX6" s="23" t="str">
        <f>IF(MOD(整月外場班表!AX6,1)=0,CONCATENATE(整月外場班表!AX6,"00"),CONCATENATE(INT(整月外場班表!AX6),"30"))</f>
        <v>00</v>
      </c>
      <c r="AY6" s="24" t="str">
        <f>IF(MOD(整月外場班表!AY6,1)=0,CONCATENATE(整月外場班表!AY6,"00"),CONCATENATE(INT(整月外場班表!AY6),"30"))</f>
        <v>00</v>
      </c>
      <c r="AZ6" s="23" t="str">
        <f>IF(MOD(整月外場班表!AZ6,1)=0,CONCATENATE(整月外場班表!AZ6,"00"),CONCATENATE(INT(整月外場班表!AZ6),"30"))</f>
        <v>00</v>
      </c>
      <c r="BA6" s="24" t="str">
        <f>IF(MOD(整月外場班表!BA6,1)=0,CONCATENATE(整月外場班表!BA6,"00"),CONCATENATE(INT(整月外場班表!BA6),"30"))</f>
        <v>00</v>
      </c>
      <c r="BB6" s="23" t="str">
        <f>IF(MOD(整月外場班表!BB6,1)=0,CONCATENATE(整月外場班表!BB6,"00"),CONCATENATE(INT(整月外場班表!BB6),"30"))</f>
        <v>00</v>
      </c>
      <c r="BC6" s="24" t="str">
        <f>IF(MOD(整月外場班表!BC6,1)=0,CONCATENATE(整月外場班表!BC6,"00"),CONCATENATE(INT(整月外場班表!BC6),"30"))</f>
        <v>00</v>
      </c>
      <c r="BD6" s="23" t="str">
        <f>IF(MOD(整月外場班表!BD6,1)=0,CONCATENATE(整月外場班表!BD6,"00"),CONCATENATE(INT(整月外場班表!BD6),"30"))</f>
        <v>00</v>
      </c>
      <c r="BE6" s="24" t="str">
        <f>IF(MOD(整月外場班表!BE6,1)=0,CONCATENATE(整月外場班表!BE6,"00"),CONCATENATE(INT(整月外場班表!BE6),"30"))</f>
        <v>00</v>
      </c>
      <c r="BF6" s="23" t="str">
        <f>IF(MOD(整月外場班表!BF6,1)=0,CONCATENATE(整月外場班表!BF6,"00"),CONCATENATE(INT(整月外場班表!BF6),"30"))</f>
        <v>00</v>
      </c>
      <c r="BG6" s="24" t="str">
        <f>IF(MOD(整月外場班表!BG6,1)=0,CONCATENATE(整月外場班表!BG6,"00"),CONCATENATE(INT(整月外場班表!BG6),"30"))</f>
        <v>00</v>
      </c>
      <c r="BH6" s="23" t="str">
        <f>IF(MOD(整月外場班表!BH6,1)=0,CONCATENATE(整月外場班表!BH6,"00"),CONCATENATE(INT(整月外場班表!BH6),"30"))</f>
        <v>00</v>
      </c>
      <c r="BI6" s="24" t="str">
        <f>IF(MOD(整月外場班表!BI6,1)=0,CONCATENATE(整月外場班表!BI6,"00"),CONCATENATE(INT(整月外場班表!BI6),"30"))</f>
        <v>00</v>
      </c>
      <c r="BJ6" s="23" t="str">
        <f>IF(MOD(整月外場班表!BJ6,1)=0,CONCATENATE(整月外場班表!BJ6,"00"),CONCATENATE(INT(整月外場班表!BJ6),"30"))</f>
        <v>00</v>
      </c>
      <c r="BK6" s="24" t="str">
        <f>IF(MOD(整月外場班表!BK6,1)=0,CONCATENATE(整月外場班表!BK6,"00"),CONCATENATE(INT(整月外場班表!BK6),"30"))</f>
        <v>00</v>
      </c>
      <c r="BL6" s="23" t="str">
        <f>IF(MOD(整月外場班表!BL6,1)=0,CONCATENATE(整月外場班表!BL6,"00"),CONCATENATE(INT(整月外場班表!BL6),"30"))</f>
        <v>00</v>
      </c>
      <c r="BM6" s="24" t="str">
        <f>IF(MOD(整月外場班表!BM6,1)=0,CONCATENATE(整月外場班表!BM6,"00"),CONCATENATE(INT(整月外場班表!BM6),"30"))</f>
        <v>00</v>
      </c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ht="15" thickBot="1">
      <c r="A7" s="84"/>
      <c r="B7" s="86"/>
      <c r="C7" s="94"/>
      <c r="D7" s="25" t="str">
        <f>IF(MOD(整月外場班表!D7,1)=0,CONCATENATE(整月外場班表!D7,"00"),CONCATENATE(INT(整月外場班表!D7),"30"))</f>
        <v>00</v>
      </c>
      <c r="E7" s="26" t="str">
        <f>IF(MOD(整月外場班表!E7,1)=0,CONCATENATE(整月外場班表!E7,"00"),CONCATENATE(INT(整月外場班表!E7),"30"))</f>
        <v>00</v>
      </c>
      <c r="F7" s="25" t="str">
        <f>IF(MOD(整月外場班表!F7,1)=0,CONCATENATE(整月外場班表!F7,"00"),CONCATENATE(INT(整月外場班表!F7),"30"))</f>
        <v>00</v>
      </c>
      <c r="G7" s="26" t="str">
        <f>IF(MOD(整月外場班表!G7,1)=0,CONCATENATE(整月外場班表!G7,"00"),CONCATENATE(INT(整月外場班表!G7),"30"))</f>
        <v>00</v>
      </c>
      <c r="H7" s="25" t="str">
        <f>IF(MOD(整月外場班表!H7,1)=0,CONCATENATE(整月外場班表!H7,"00"),CONCATENATE(INT(整月外場班表!H7),"30"))</f>
        <v>00</v>
      </c>
      <c r="I7" s="26" t="str">
        <f>IF(MOD(整月外場班表!I7,1)=0,CONCATENATE(整月外場班表!I7,"00"),CONCATENATE(INT(整月外場班表!I7),"30"))</f>
        <v>00</v>
      </c>
      <c r="J7" s="25" t="str">
        <f>IF(MOD(整月外場班表!J7,1)=0,CONCATENATE(整月外場班表!J7,"00"),CONCATENATE(INT(整月外場班表!J7),"30"))</f>
        <v>00</v>
      </c>
      <c r="K7" s="26" t="str">
        <f>IF(MOD(整月外場班表!K7,1)=0,CONCATENATE(整月外場班表!K7,"00"),CONCATENATE(INT(整月外場班表!K7),"30"))</f>
        <v>00</v>
      </c>
      <c r="L7" s="25" t="str">
        <f>IF(MOD(整月外場班表!L7,1)=0,CONCATENATE(整月外場班表!L7,"00"),CONCATENATE(INT(整月外場班表!L7),"30"))</f>
        <v>00</v>
      </c>
      <c r="M7" s="26" t="str">
        <f>IF(MOD(整月外場班表!M7,1)=0,CONCATENATE(整月外場班表!M7,"00"),CONCATENATE(INT(整月外場班表!M7),"30"))</f>
        <v>00</v>
      </c>
      <c r="N7" s="25" t="str">
        <f>IF(MOD(整月外場班表!N7,1)=0,CONCATENATE(整月外場班表!N7,"00"),CONCATENATE(INT(整月外場班表!N7),"30"))</f>
        <v>00</v>
      </c>
      <c r="O7" s="26" t="str">
        <f>IF(MOD(整月外場班表!O7,1)=0,CONCATENATE(整月外場班表!O7,"00"),CONCATENATE(INT(整月外場班表!O7),"30"))</f>
        <v>00</v>
      </c>
      <c r="P7" s="25" t="str">
        <f>IF(MOD(整月外場班表!P7,1)=0,CONCATENATE(整月外場班表!P7,"00"),CONCATENATE(INT(整月外場班表!P7),"30"))</f>
        <v>00</v>
      </c>
      <c r="Q7" s="26" t="str">
        <f>IF(MOD(整月外場班表!Q7,1)=0,CONCATENATE(整月外場班表!Q7,"00"),CONCATENATE(INT(整月外場班表!Q7),"30"))</f>
        <v>00</v>
      </c>
      <c r="R7" s="25" t="str">
        <f>IF(MOD(整月外場班表!R7,1)=0,CONCATENATE(整月外場班表!R7,"00"),CONCATENATE(INT(整月外場班表!R7),"30"))</f>
        <v>00</v>
      </c>
      <c r="S7" s="26" t="str">
        <f>IF(MOD(整月外場班表!S7,1)=0,CONCATENATE(整月外場班表!S7,"00"),CONCATENATE(INT(整月外場班表!S7),"30"))</f>
        <v>00</v>
      </c>
      <c r="T7" s="25" t="str">
        <f>IF(MOD(整月外場班表!T7,1)=0,CONCATENATE(整月外場班表!T7,"00"),CONCATENATE(INT(整月外場班表!T7),"30"))</f>
        <v>00</v>
      </c>
      <c r="U7" s="26" t="str">
        <f>IF(MOD(整月外場班表!U7,1)=0,CONCATENATE(整月外場班表!U7,"00"),CONCATENATE(INT(整月外場班表!U7),"30"))</f>
        <v>00</v>
      </c>
      <c r="V7" s="25" t="str">
        <f>IF(MOD(整月外場班表!V7,1)=0,CONCATENATE(整月外場班表!V7,"00"),CONCATENATE(INT(整月外場班表!V7),"30"))</f>
        <v>00</v>
      </c>
      <c r="W7" s="26" t="str">
        <f>IF(MOD(整月外場班表!W7,1)=0,CONCATENATE(整月外場班表!W7,"00"),CONCATENATE(INT(整月外場班表!W7),"30"))</f>
        <v>00</v>
      </c>
      <c r="X7" s="25" t="str">
        <f>IF(MOD(整月外場班表!X7,1)=0,CONCATENATE(整月外場班表!X7,"00"),CONCATENATE(INT(整月外場班表!X7),"30"))</f>
        <v>00</v>
      </c>
      <c r="Y7" s="26" t="str">
        <f>IF(MOD(整月外場班表!Y7,1)=0,CONCATENATE(整月外場班表!Y7,"00"),CONCATENATE(INT(整月外場班表!Y7),"30"))</f>
        <v>00</v>
      </c>
      <c r="Z7" s="25" t="str">
        <f>IF(MOD(整月外場班表!Z7,1)=0,CONCATENATE(整月外場班表!Z7,"00"),CONCATENATE(INT(整月外場班表!Z7),"30"))</f>
        <v>00</v>
      </c>
      <c r="AA7" s="26" t="str">
        <f>IF(MOD(整月外場班表!AA7,1)=0,CONCATENATE(整月外場班表!AA7,"00"),CONCATENATE(INT(整月外場班表!AA7),"30"))</f>
        <v>00</v>
      </c>
      <c r="AB7" s="25" t="str">
        <f>IF(MOD(整月外場班表!AB7,1)=0,CONCATENATE(整月外場班表!AB7,"00"),CONCATENATE(INT(整月外場班表!AB7),"30"))</f>
        <v>00</v>
      </c>
      <c r="AC7" s="26" t="str">
        <f>IF(MOD(整月外場班表!AC7,1)=0,CONCATENATE(整月外場班表!AC7,"00"),CONCATENATE(INT(整月外場班表!AC7),"30"))</f>
        <v>00</v>
      </c>
      <c r="AD7" s="25" t="str">
        <f>IF(MOD(整月外場班表!AD7,1)=0,CONCATENATE(整月外場班表!AD7,"00"),CONCATENATE(INT(整月外場班表!AD7),"30"))</f>
        <v>00</v>
      </c>
      <c r="AE7" s="26" t="str">
        <f>IF(MOD(整月外場班表!AE7,1)=0,CONCATENATE(整月外場班表!AE7,"00"),CONCATENATE(INT(整月外場班表!AE7),"30"))</f>
        <v>00</v>
      </c>
      <c r="AF7" s="25" t="str">
        <f>IF(MOD(整月外場班表!AF7,1)=0,CONCATENATE(整月外場班表!AF7,"00"),CONCATENATE(INT(整月外場班表!AF7),"30"))</f>
        <v>00</v>
      </c>
      <c r="AG7" s="26" t="str">
        <f>IF(MOD(整月外場班表!AG7,1)=0,CONCATENATE(整月外場班表!AG7,"00"),CONCATENATE(INT(整月外場班表!AG7),"30"))</f>
        <v>00</v>
      </c>
      <c r="AH7" s="25" t="str">
        <f>IF(MOD(整月外場班表!AH7,1)=0,CONCATENATE(整月外場班表!AH7,"00"),CONCATENATE(INT(整月外場班表!AH7),"30"))</f>
        <v>00</v>
      </c>
      <c r="AI7" s="26" t="str">
        <f>IF(MOD(整月外場班表!AI7,1)=0,CONCATENATE(整月外場班表!AI7,"00"),CONCATENATE(INT(整月外場班表!AI7),"30"))</f>
        <v>00</v>
      </c>
      <c r="AJ7" s="25" t="str">
        <f>IF(MOD(整月外場班表!AJ7,1)=0,CONCATENATE(整月外場班表!AJ7,"00"),CONCATENATE(INT(整月外場班表!AJ7),"30"))</f>
        <v>00</v>
      </c>
      <c r="AK7" s="26" t="str">
        <f>IF(MOD(整月外場班表!AK7,1)=0,CONCATENATE(整月外場班表!AK7,"00"),CONCATENATE(INT(整月外場班表!AK7),"30"))</f>
        <v>00</v>
      </c>
      <c r="AL7" s="25" t="str">
        <f>IF(MOD(整月外場班表!AL7,1)=0,CONCATENATE(整月外場班表!AL7,"00"),CONCATENATE(INT(整月外場班表!AL7),"30"))</f>
        <v>00</v>
      </c>
      <c r="AM7" s="26" t="str">
        <f>IF(MOD(整月外場班表!AM7,1)=0,CONCATENATE(整月外場班表!AM7,"00"),CONCATENATE(INT(整月外場班表!AM7),"30"))</f>
        <v>00</v>
      </c>
      <c r="AN7" s="25" t="str">
        <f>IF(MOD(整月外場班表!AN7,1)=0,CONCATENATE(整月外場班表!AN7,"00"),CONCATENATE(INT(整月外場班表!AN7),"30"))</f>
        <v>00</v>
      </c>
      <c r="AO7" s="26" t="str">
        <f>IF(MOD(整月外場班表!AO7,1)=0,CONCATENATE(整月外場班表!AO7,"00"),CONCATENATE(INT(整月外場班表!AO7),"30"))</f>
        <v>00</v>
      </c>
      <c r="AP7" s="25" t="str">
        <f>IF(MOD(整月外場班表!AP7,1)=0,CONCATENATE(整月外場班表!AP7,"00"),CONCATENATE(INT(整月外場班表!AP7),"30"))</f>
        <v>00</v>
      </c>
      <c r="AQ7" s="26" t="str">
        <f>IF(MOD(整月外場班表!AQ7,1)=0,CONCATENATE(整月外場班表!AQ7,"00"),CONCATENATE(INT(整月外場班表!AQ7),"30"))</f>
        <v>00</v>
      </c>
      <c r="AR7" s="25" t="str">
        <f>IF(MOD(整月外場班表!AR7,1)=0,CONCATENATE(整月外場班表!AR7,"00"),CONCATENATE(INT(整月外場班表!AR7),"30"))</f>
        <v>00</v>
      </c>
      <c r="AS7" s="26" t="str">
        <f>IF(MOD(整月外場班表!AS7,1)=0,CONCATENATE(整月外場班表!AS7,"00"),CONCATENATE(INT(整月外場班表!AS7),"30"))</f>
        <v>00</v>
      </c>
      <c r="AT7" s="25" t="str">
        <f>IF(MOD(整月外場班表!AT7,1)=0,CONCATENATE(整月外場班表!AT7,"00"),CONCATENATE(INT(整月外場班表!AT7),"30"))</f>
        <v>00</v>
      </c>
      <c r="AU7" s="26" t="str">
        <f>IF(MOD(整月外場班表!AU7,1)=0,CONCATENATE(整月外場班表!AU7,"00"),CONCATENATE(INT(整月外場班表!AU7),"30"))</f>
        <v>00</v>
      </c>
      <c r="AV7" s="25" t="str">
        <f>IF(MOD(整月外場班表!AV7,1)=0,CONCATENATE(整月外場班表!AV7,"00"),CONCATENATE(INT(整月外場班表!AV7),"30"))</f>
        <v>00</v>
      </c>
      <c r="AW7" s="26" t="str">
        <f>IF(MOD(整月外場班表!AW7,1)=0,CONCATENATE(整月外場班表!AW7,"00"),CONCATENATE(INT(整月外場班表!AW7),"30"))</f>
        <v>00</v>
      </c>
      <c r="AX7" s="25" t="str">
        <f>IF(MOD(整月外場班表!AX7,1)=0,CONCATENATE(整月外場班表!AX7,"00"),CONCATENATE(INT(整月外場班表!AX7),"30"))</f>
        <v>00</v>
      </c>
      <c r="AY7" s="26" t="str">
        <f>IF(MOD(整月外場班表!AY7,1)=0,CONCATENATE(整月外場班表!AY7,"00"),CONCATENATE(INT(整月外場班表!AY7),"30"))</f>
        <v>00</v>
      </c>
      <c r="AZ7" s="25" t="str">
        <f>IF(MOD(整月外場班表!AZ7,1)=0,CONCATENATE(整月外場班表!AZ7,"00"),CONCATENATE(INT(整月外場班表!AZ7),"30"))</f>
        <v>00</v>
      </c>
      <c r="BA7" s="26" t="str">
        <f>IF(MOD(整月外場班表!BA7,1)=0,CONCATENATE(整月外場班表!BA7,"00"),CONCATENATE(INT(整月外場班表!BA7),"30"))</f>
        <v>00</v>
      </c>
      <c r="BB7" s="25" t="str">
        <f>IF(MOD(整月外場班表!BB7,1)=0,CONCATENATE(整月外場班表!BB7,"00"),CONCATENATE(INT(整月外場班表!BB7),"30"))</f>
        <v>00</v>
      </c>
      <c r="BC7" s="26" t="str">
        <f>IF(MOD(整月外場班表!BC7,1)=0,CONCATENATE(整月外場班表!BC7,"00"),CONCATENATE(INT(整月外場班表!BC7),"30"))</f>
        <v>00</v>
      </c>
      <c r="BD7" s="25" t="str">
        <f>IF(MOD(整月外場班表!BD7,1)=0,CONCATENATE(整月外場班表!BD7,"00"),CONCATENATE(INT(整月外場班表!BD7),"30"))</f>
        <v>00</v>
      </c>
      <c r="BE7" s="26" t="str">
        <f>IF(MOD(整月外場班表!BE7,1)=0,CONCATENATE(整月外場班表!BE7,"00"),CONCATENATE(INT(整月外場班表!BE7),"30"))</f>
        <v>00</v>
      </c>
      <c r="BF7" s="25" t="str">
        <f>IF(MOD(整月外場班表!BF7,1)=0,CONCATENATE(整月外場班表!BF7,"00"),CONCATENATE(INT(整月外場班表!BF7),"30"))</f>
        <v>00</v>
      </c>
      <c r="BG7" s="26" t="str">
        <f>IF(MOD(整月外場班表!BG7,1)=0,CONCATENATE(整月外場班表!BG7,"00"),CONCATENATE(INT(整月外場班表!BG7),"30"))</f>
        <v>00</v>
      </c>
      <c r="BH7" s="25" t="str">
        <f>IF(MOD(整月外場班表!BH7,1)=0,CONCATENATE(整月外場班表!BH7,"00"),CONCATENATE(INT(整月外場班表!BH7),"30"))</f>
        <v>00</v>
      </c>
      <c r="BI7" s="26" t="str">
        <f>IF(MOD(整月外場班表!BI7,1)=0,CONCATENATE(整月外場班表!BI7,"00"),CONCATENATE(INT(整月外場班表!BI7),"30"))</f>
        <v>00</v>
      </c>
      <c r="BJ7" s="25" t="str">
        <f>IF(MOD(整月外場班表!BJ7,1)=0,CONCATENATE(整月外場班表!BJ7,"00"),CONCATENATE(INT(整月外場班表!BJ7),"30"))</f>
        <v>00</v>
      </c>
      <c r="BK7" s="26" t="str">
        <f>IF(MOD(整月外場班表!BK7,1)=0,CONCATENATE(整月外場班表!BK7,"00"),CONCATENATE(INT(整月外場班表!BK7),"30"))</f>
        <v>00</v>
      </c>
      <c r="BL7" s="25" t="str">
        <f>IF(MOD(整月外場班表!BL7,1)=0,CONCATENATE(整月外場班表!BL7,"00"),CONCATENATE(INT(整月外場班表!BL7),"30"))</f>
        <v>00</v>
      </c>
      <c r="BM7" s="26" t="str">
        <f>IF(MOD(整月外場班表!BM7,1)=0,CONCATENATE(整月外場班表!BM7,"00"),CONCATENATE(INT(整月外場班表!BM7),"30"))</f>
        <v>00</v>
      </c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s="1" customFormat="1" ht="40" customHeight="1" thickBot="1">
      <c r="A8" s="47"/>
      <c r="B8" s="84"/>
      <c r="C8" s="95"/>
      <c r="D8" s="104" t="str" cm="1">
        <f t="array" ref="D8">_xlfn.IFS(AND(D6="00",D7="00"),";H",AND(D6&lt;&gt;"00",D7&lt;&gt;"00"),CONCATENATE(D6,"-",E7,"(",E6,"-",D7,")"),AND(D6="00",D7&lt;&gt;"00"),CONCATENATE(D7,"-",E7),AND(D6&lt;&gt;"00",D7="00"),CONCATENATE(D6,"-",E6))</f>
        <v>;H</v>
      </c>
      <c r="E8" s="105"/>
      <c r="F8" s="104" t="str" cm="1">
        <f t="array" ref="F8">_xlfn.IFS(AND(F6="00",F7="00"),";H",AND(F6&lt;&gt;"00",F7&lt;&gt;"00"),CONCATENATE(F6,"-",G7,"(",G6,"-",F7,")"),AND(F6="00",F7&lt;&gt;"00"),CONCATENATE(F7,"-",G7),AND(F6&lt;&gt;"00",F7="00"),CONCATENATE(F6,"-",G6))</f>
        <v>;H</v>
      </c>
      <c r="G8" s="105"/>
      <c r="H8" s="104" t="str" cm="1">
        <f t="array" ref="H8">_xlfn.IFS(AND(H6="00",H7="00"),";H",AND(H6&lt;&gt;"00",H7&lt;&gt;"00"),CONCATENATE(H6,"-",I7,"(",I6,"-",H7,")"),AND(H6="00",H7&lt;&gt;"00"),CONCATENATE(H7,"-",I7),AND(H6&lt;&gt;"00",H7="00"),CONCATENATE(H6,"-",I6))</f>
        <v>;H</v>
      </c>
      <c r="I8" s="105"/>
      <c r="J8" s="104" t="str" cm="1">
        <f t="array" ref="J8">_xlfn.IFS(AND(J6="00",J7="00"),";H",AND(J6&lt;&gt;"00",J7&lt;&gt;"00"),CONCATENATE(J6,"-",K7,"(",K6,"-",J7,")"),AND(J6="00",J7&lt;&gt;"00"),CONCATENATE(J7,"-",K7),AND(J6&lt;&gt;"00",J7="00"),CONCATENATE(J6,"-",K6))</f>
        <v>;H</v>
      </c>
      <c r="K8" s="105"/>
      <c r="L8" s="104" t="str" cm="1">
        <f t="array" ref="L8">_xlfn.IFS(AND(L6="00",L7="00"),";H",AND(L6&lt;&gt;"00",L7&lt;&gt;"00"),CONCATENATE(L6,"-",M7,"(",M6,"-",L7,")"),AND(L6="00",L7&lt;&gt;"00"),CONCATENATE(L7,"-",M7),AND(L6&lt;&gt;"00",L7="00"),CONCATENATE(L6,"-",M6))</f>
        <v>;H</v>
      </c>
      <c r="M8" s="105"/>
      <c r="N8" s="104" t="str" cm="1">
        <f t="array" ref="N8">_xlfn.IFS(AND(N6="00",N7="00"),";H",AND(N6&lt;&gt;"00",N7&lt;&gt;"00"),CONCATENATE(N6,"-",O7,"(",O6,"-",N7,")"),AND(N6="00",N7&lt;&gt;"00"),CONCATENATE(N7,"-",O7),AND(N6&lt;&gt;"00",N7="00"),CONCATENATE(N6,"-",O6))</f>
        <v>;H</v>
      </c>
      <c r="O8" s="105"/>
      <c r="P8" s="104" t="str" cm="1">
        <f t="array" ref="P8">_xlfn.IFS(AND(P6="00",P7="00"),";H",AND(P6&lt;&gt;"00",P7&lt;&gt;"00"),CONCATENATE(P6,"-",Q7,"(",Q6,"-",P7,")"),AND(P6="00",P7&lt;&gt;"00"),CONCATENATE(P7,"-",Q7),AND(P6&lt;&gt;"00",P7="00"),CONCATENATE(P6,"-",Q6))</f>
        <v>;H</v>
      </c>
      <c r="Q8" s="105"/>
      <c r="R8" s="104" t="str" cm="1">
        <f t="array" ref="R8">_xlfn.IFS(AND(R6="00",R7="00"),";H",AND(R6&lt;&gt;"00",R7&lt;&gt;"00"),CONCATENATE(R6,"-",S7,"(",S6,"-",R7,")"),AND(R6="00",R7&lt;&gt;"00"),CONCATENATE(R7,"-",S7),AND(R6&lt;&gt;"00",R7="00"),CONCATENATE(R6,"-",S6))</f>
        <v>;H</v>
      </c>
      <c r="S8" s="105"/>
      <c r="T8" s="104" t="str" cm="1">
        <f t="array" ref="T8">_xlfn.IFS(AND(T6="00",T7="00"),";H",AND(T6&lt;&gt;"00",T7&lt;&gt;"00"),CONCATENATE(T6,"-",U7,"(",U6,"-",T7,")"),AND(T6="00",T7&lt;&gt;"00"),CONCATENATE(T7,"-",U7),AND(T6&lt;&gt;"00",T7="00"),CONCATENATE(T6,"-",U6))</f>
        <v>;H</v>
      </c>
      <c r="U8" s="105"/>
      <c r="V8" s="104" t="str" cm="1">
        <f t="array" ref="V8">_xlfn.IFS(AND(V6="00",V7="00"),";H",AND(V6&lt;&gt;"00",V7&lt;&gt;"00"),CONCATENATE(V6,"-",W7,"(",W6,"-",V7,")"),AND(V6="00",V7&lt;&gt;"00"),CONCATENATE(V7,"-",W7),AND(V6&lt;&gt;"00",V7="00"),CONCATENATE(V6,"-",W6))</f>
        <v>;H</v>
      </c>
      <c r="W8" s="105"/>
      <c r="X8" s="104" t="str" cm="1">
        <f t="array" ref="X8">_xlfn.IFS(AND(X6="00",X7="00"),";H",AND(X6&lt;&gt;"00",X7&lt;&gt;"00"),CONCATENATE(X6,"-",Y7,"(",Y6,"-",X7,")"),AND(X6="00",X7&lt;&gt;"00"),CONCATENATE(X7,"-",Y7),AND(X6&lt;&gt;"00",X7="00"),CONCATENATE(X6,"-",Y6))</f>
        <v>;H</v>
      </c>
      <c r="Y8" s="105"/>
      <c r="Z8" s="104" t="str" cm="1">
        <f t="array" ref="Z8">_xlfn.IFS(AND(Z6="00",Z7="00"),";H",AND(Z6&lt;&gt;"00",Z7&lt;&gt;"00"),CONCATENATE(Z6,"-",AA7,"(",AA6,"-",Z7,")"),AND(Z6="00",Z7&lt;&gt;"00"),CONCATENATE(Z7,"-",AA7),AND(Z6&lt;&gt;"00",Z7="00"),CONCATENATE(Z6,"-",AA6))</f>
        <v>;H</v>
      </c>
      <c r="AA8" s="105"/>
      <c r="AB8" s="104" t="str" cm="1">
        <f t="array" ref="AB8">_xlfn.IFS(AND(AB6="00",AB7="00"),";H",AND(AB6&lt;&gt;"00",AB7&lt;&gt;"00"),CONCATENATE(AB6,"-",AC7,"(",AC6,"-",AB7,")"),AND(AB6="00",AB7&lt;&gt;"00"),CONCATENATE(AB7,"-",AC7),AND(AB6&lt;&gt;"00",AB7="00"),CONCATENATE(AB6,"-",AC6))</f>
        <v>;H</v>
      </c>
      <c r="AC8" s="105"/>
      <c r="AD8" s="104" t="str" cm="1">
        <f t="array" ref="AD8">_xlfn.IFS(AND(AD6="00",AD7="00"),";H",AND(AD6&lt;&gt;"00",AD7&lt;&gt;"00"),CONCATENATE(AD6,"-",AE7,"(",AE6,"-",AD7,")"),AND(AD6="00",AD7&lt;&gt;"00"),CONCATENATE(AD7,"-",AE7),AND(AD6&lt;&gt;"00",AD7="00"),CONCATENATE(AD6,"-",AE6))</f>
        <v>;H</v>
      </c>
      <c r="AE8" s="105"/>
      <c r="AF8" s="104" t="str" cm="1">
        <f t="array" ref="AF8">_xlfn.IFS(AND(AF6="00",AF7="00"),";H",AND(AF6&lt;&gt;"00",AF7&lt;&gt;"00"),CONCATENATE(AF6,"-",AG7,"(",AG6,"-",AF7,")"),AND(AF6="00",AF7&lt;&gt;"00"),CONCATENATE(AF7,"-",AG7),AND(AF6&lt;&gt;"00",AF7="00"),CONCATENATE(AF6,"-",AG6))</f>
        <v>;H</v>
      </c>
      <c r="AG8" s="105"/>
      <c r="AH8" s="104" t="str" cm="1">
        <f t="array" ref="AH8">_xlfn.IFS(AND(AH6="00",AH7="00"),";H",AND(AH6&lt;&gt;"00",AH7&lt;&gt;"00"),CONCATENATE(AH6,"-",AI7,"(",AI6,"-",AH7,")"),AND(AH6="00",AH7&lt;&gt;"00"),CONCATENATE(AH7,"-",AI7),AND(AH6&lt;&gt;"00",AH7="00"),CONCATENATE(AH6,"-",AI6))</f>
        <v>;H</v>
      </c>
      <c r="AI8" s="105"/>
      <c r="AJ8" s="104" t="str" cm="1">
        <f t="array" ref="AJ8">_xlfn.IFS(AND(AJ6="00",AJ7="00"),";H",AND(AJ6&lt;&gt;"00",AJ7&lt;&gt;"00"),CONCATENATE(AJ6,"-",AK7,"(",AK6,"-",AJ7,")"),AND(AJ6="00",AJ7&lt;&gt;"00"),CONCATENATE(AJ7,"-",AK7),AND(AJ6&lt;&gt;"00",AJ7="00"),CONCATENATE(AJ6,"-",AK6))</f>
        <v>;H</v>
      </c>
      <c r="AK8" s="105"/>
      <c r="AL8" s="104" t="str" cm="1">
        <f t="array" ref="AL8">_xlfn.IFS(AND(AL6="00",AL7="00"),";H",AND(AL6&lt;&gt;"00",AL7&lt;&gt;"00"),CONCATENATE(AL6,"-",AM7,"(",AM6,"-",AL7,")"),AND(AL6="00",AL7&lt;&gt;"00"),CONCATENATE(AL7,"-",AM7),AND(AL6&lt;&gt;"00",AL7="00"),CONCATENATE(AL6,"-",AM6))</f>
        <v>;H</v>
      </c>
      <c r="AM8" s="105"/>
      <c r="AN8" s="104" t="str" cm="1">
        <f t="array" ref="AN8">_xlfn.IFS(AND(AN6="00",AN7="00"),";H",AND(AN6&lt;&gt;"00",AN7&lt;&gt;"00"),CONCATENATE(AN6,"-",AO7,"(",AO6,"-",AN7,")"),AND(AN6="00",AN7&lt;&gt;"00"),CONCATENATE(AN7,"-",AO7),AND(AN6&lt;&gt;"00",AN7="00"),CONCATENATE(AN6,"-",AO6))</f>
        <v>;H</v>
      </c>
      <c r="AO8" s="105"/>
      <c r="AP8" s="104" t="str" cm="1">
        <f t="array" ref="AP8">_xlfn.IFS(AND(AP6="00",AP7="00"),";H",AND(AP6&lt;&gt;"00",AP7&lt;&gt;"00"),CONCATENATE(AP6,"-",AQ7,"(",AQ6,"-",AP7,")"),AND(AP6="00",AP7&lt;&gt;"00"),CONCATENATE(AP7,"-",AQ7),AND(AP6&lt;&gt;"00",AP7="00"),CONCATENATE(AP6,"-",AQ6))</f>
        <v>;H</v>
      </c>
      <c r="AQ8" s="105"/>
      <c r="AR8" s="104" t="str" cm="1">
        <f t="array" ref="AR8">_xlfn.IFS(AND(AR6="00",AR7="00"),";H",AND(AR6&lt;&gt;"00",AR7&lt;&gt;"00"),CONCATENATE(AR6,"-",AS7,"(",AS6,"-",AR7,")"),AND(AR6="00",AR7&lt;&gt;"00"),CONCATENATE(AR7,"-",AS7),AND(AR6&lt;&gt;"00",AR7="00"),CONCATENATE(AR6,"-",AS6))</f>
        <v>;H</v>
      </c>
      <c r="AS8" s="105"/>
      <c r="AT8" s="104" t="str" cm="1">
        <f t="array" ref="AT8">_xlfn.IFS(AND(AT6="00",AT7="00"),";H",AND(AT6&lt;&gt;"00",AT7&lt;&gt;"00"),CONCATENATE(AT6,"-",AU7,"(",AU6,"-",AT7,")"),AND(AT6="00",AT7&lt;&gt;"00"),CONCATENATE(AT7,"-",AU7),AND(AT6&lt;&gt;"00",AT7="00"),CONCATENATE(AT6,"-",AU6))</f>
        <v>;H</v>
      </c>
      <c r="AU8" s="105"/>
      <c r="AV8" s="104" t="str" cm="1">
        <f t="array" ref="AV8">_xlfn.IFS(AND(AV6="00",AV7="00"),";H",AND(AV6&lt;&gt;"00",AV7&lt;&gt;"00"),CONCATENATE(AV6,"-",AW7,"(",AW6,"-",AV7,")"),AND(AV6="00",AV7&lt;&gt;"00"),CONCATENATE(AV7,"-",AW7),AND(AV6&lt;&gt;"00",AV7="00"),CONCATENATE(AV6,"-",AW6))</f>
        <v>;H</v>
      </c>
      <c r="AW8" s="105"/>
      <c r="AX8" s="104" t="str" cm="1">
        <f t="array" ref="AX8">_xlfn.IFS(AND(AX6="00",AX7="00"),";H",AND(AX6&lt;&gt;"00",AX7&lt;&gt;"00"),CONCATENATE(AX6,"-",AY7,"(",AY6,"-",AX7,")"),AND(AX6="00",AX7&lt;&gt;"00"),CONCATENATE(AX7,"-",AY7),AND(AX6&lt;&gt;"00",AX7="00"),CONCATENATE(AX6,"-",AY6))</f>
        <v>;H</v>
      </c>
      <c r="AY8" s="105"/>
      <c r="AZ8" s="104" t="str" cm="1">
        <f t="array" ref="AZ8">_xlfn.IFS(AND(AZ6="00",AZ7="00"),";H",AND(AZ6&lt;&gt;"00",AZ7&lt;&gt;"00"),CONCATENATE(AZ6,"-",BA7,"(",BA6,"-",AZ7,")"),AND(AZ6="00",AZ7&lt;&gt;"00"),CONCATENATE(AZ7,"-",BA7),AND(AZ6&lt;&gt;"00",AZ7="00"),CONCATENATE(AZ6,"-",BA6))</f>
        <v>;H</v>
      </c>
      <c r="BA8" s="105"/>
      <c r="BB8" s="104" t="str" cm="1">
        <f t="array" ref="BB8">_xlfn.IFS(AND(BB6="00",BB7="00"),";H",AND(BB6&lt;&gt;"00",BB7&lt;&gt;"00"),CONCATENATE(BB6,"-",BC7,"(",BC6,"-",BB7,")"),AND(BB6="00",BB7&lt;&gt;"00"),CONCATENATE(BB7,"-",BC7),AND(BB6&lt;&gt;"00",BB7="00"),CONCATENATE(BB6,"-",BC6))</f>
        <v>;H</v>
      </c>
      <c r="BC8" s="105"/>
      <c r="BD8" s="104" t="str" cm="1">
        <f t="array" ref="BD8">_xlfn.IFS(AND(BD6="00",BD7="00"),";H",AND(BD6&lt;&gt;"00",BD7&lt;&gt;"00"),CONCATENATE(BD6,"-",BE7,"(",BE6,"-",BD7,")"),AND(BD6="00",BD7&lt;&gt;"00"),CONCATENATE(BD7,"-",BE7),AND(BD6&lt;&gt;"00",BD7="00"),CONCATENATE(BD6,"-",BE6))</f>
        <v>;H</v>
      </c>
      <c r="BE8" s="105"/>
      <c r="BF8" s="104" t="str" cm="1">
        <f t="array" ref="BF8">_xlfn.IFS(AND(BF6="00",BF7="00"),";H",AND(BF6&lt;&gt;"00",BF7&lt;&gt;"00"),CONCATENATE(BF6,"-",BG7,"(",BG6,"-",BF7,")"),AND(BF6="00",BF7&lt;&gt;"00"),CONCATENATE(BF7,"-",BG7),AND(BF6&lt;&gt;"00",BF7="00"),CONCATENATE(BF6,"-",BG6))</f>
        <v>;H</v>
      </c>
      <c r="BG8" s="105"/>
      <c r="BH8" s="104" t="str" cm="1">
        <f t="array" ref="BH8">_xlfn.IFS(AND(BH6="00",BH7="00"),";H",AND(BH6&lt;&gt;"00",BH7&lt;&gt;"00"),CONCATENATE(BH6,"-",BI7,"(",BI6,"-",BH7,")"),AND(BH6="00",BH7&lt;&gt;"00"),CONCATENATE(BH7,"-",BI7),AND(BH6&lt;&gt;"00",BH7="00"),CONCATENATE(BH6,"-",BI6))</f>
        <v>;H</v>
      </c>
      <c r="BI8" s="105"/>
      <c r="BJ8" s="104" t="str" cm="1">
        <f t="array" ref="BJ8">_xlfn.IFS(AND(BJ6="00",BJ7="00"),";H",AND(BJ6&lt;&gt;"00",BJ7&lt;&gt;"00"),CONCATENATE(BJ6,"-",BK7,"(",BK6,"-",BJ7,")"),AND(BJ6="00",BJ7&lt;&gt;"00"),CONCATENATE(BJ7,"-",BK7),AND(BJ6&lt;&gt;"00",BJ7="00"),CONCATENATE(BJ6,"-",BK6))</f>
        <v>;H</v>
      </c>
      <c r="BK8" s="105"/>
      <c r="BL8" s="104" t="str" cm="1">
        <f t="array" ref="BL8">_xlfn.IFS(AND(BL6="00",BL7="00"),";H",AND(BL6&lt;&gt;"00",BL7&lt;&gt;"00"),CONCATENATE(BL6,"-",BM7,"(",BM6,"-",BL7,")"),AND(BL6="00",BL7&lt;&gt;"00"),CONCATENATE(BL7,"-",BM7),AND(BL6&lt;&gt;"00",BL7="00"),CONCATENATE(BL6,"-",BM6))</f>
        <v>;H</v>
      </c>
      <c r="BM8" s="105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</row>
    <row r="9" spans="1:81" ht="15" thickBot="1">
      <c r="A9" s="146"/>
      <c r="B9" s="146" t="str">
        <f>整月外場班表!B9</f>
        <v>楊衡欣</v>
      </c>
      <c r="C9" s="93"/>
      <c r="D9" s="23" t="str">
        <f>IF(MOD(整月外場班表!D9,1)=0,CONCATENATE(整月外場班表!D9,"00"),CONCATENATE(INT(整月外場班表!D9),"30"))</f>
        <v>00</v>
      </c>
      <c r="E9" s="24" t="str">
        <f>IF(MOD(整月外場班表!E9,1)=0,CONCATENATE(整月外場班表!E9,"00"),CONCATENATE(INT(整月外場班表!E9),"30"))</f>
        <v>00</v>
      </c>
      <c r="F9" s="23" t="str">
        <f>IF(MOD(整月外場班表!F9,1)=0,CONCATENATE(整月外場班表!F9,"00"),CONCATENATE(INT(整月外場班表!F9),"30"))</f>
        <v>00</v>
      </c>
      <c r="G9" s="24" t="str">
        <f>IF(MOD(整月外場班表!G9,1)=0,CONCATENATE(整月外場班表!G9,"00"),CONCATENATE(INT(整月外場班表!G9),"30"))</f>
        <v>00</v>
      </c>
      <c r="H9" s="23" t="str">
        <f>IF(MOD(整月外場班表!H9,1)=0,CONCATENATE(整月外場班表!H9,"00"),CONCATENATE(INT(整月外場班表!H9),"30"))</f>
        <v>00</v>
      </c>
      <c r="I9" s="24" t="str">
        <f>IF(MOD(整月外場班表!I9,1)=0,CONCATENATE(整月外場班表!I9,"00"),CONCATENATE(INT(整月外場班表!I9),"30"))</f>
        <v>00</v>
      </c>
      <c r="J9" s="23" t="str">
        <f>IF(MOD(整月外場班表!J9,1)=0,CONCATENATE(整月外場班表!J9,"00"),CONCATENATE(INT(整月外場班表!J9),"30"))</f>
        <v>00</v>
      </c>
      <c r="K9" s="24" t="str">
        <f>IF(MOD(整月外場班表!K9,1)=0,CONCATENATE(整月外場班表!K9,"00"),CONCATENATE(INT(整月外場班表!K9),"30"))</f>
        <v>00</v>
      </c>
      <c r="L9" s="23" t="str">
        <f>IF(MOD(整月外場班表!L9,1)=0,CONCATENATE(整月外場班表!L9,"00"),CONCATENATE(INT(整月外場班表!L9),"30"))</f>
        <v>00</v>
      </c>
      <c r="M9" s="24" t="str">
        <f>IF(MOD(整月外場班表!M9,1)=0,CONCATENATE(整月外場班表!M9,"00"),CONCATENATE(INT(整月外場班表!M9),"30"))</f>
        <v>00</v>
      </c>
      <c r="N9" s="23" t="str">
        <f>IF(MOD(整月外場班表!N9,1)=0,CONCATENATE(整月外場班表!N9,"00"),CONCATENATE(INT(整月外場班表!N9),"30"))</f>
        <v>00</v>
      </c>
      <c r="O9" s="24" t="str">
        <f>IF(MOD(整月外場班表!O9,1)=0,CONCATENATE(整月外場班表!O9,"00"),CONCATENATE(INT(整月外場班表!O9),"30"))</f>
        <v>00</v>
      </c>
      <c r="P9" s="23" t="str">
        <f>IF(MOD(整月外場班表!P9,1)=0,CONCATENATE(整月外場班表!P9,"00"),CONCATENATE(INT(整月外場班表!P9),"30"))</f>
        <v>00</v>
      </c>
      <c r="Q9" s="24" t="str">
        <f>IF(MOD(整月外場班表!Q9,1)=0,CONCATENATE(整月外場班表!Q9,"00"),CONCATENATE(INT(整月外場班表!Q9),"30"))</f>
        <v>00</v>
      </c>
      <c r="R9" s="23" t="str">
        <f>IF(MOD(整月外場班表!R9,1)=0,CONCATENATE(整月外場班表!R9,"00"),CONCATENATE(INT(整月外場班表!R9),"30"))</f>
        <v>00</v>
      </c>
      <c r="S9" s="24" t="str">
        <f>IF(MOD(整月外場班表!S9,1)=0,CONCATENATE(整月外場班表!S9,"00"),CONCATENATE(INT(整月外場班表!S9),"30"))</f>
        <v>00</v>
      </c>
      <c r="T9" s="23" t="str">
        <f>IF(MOD(整月外場班表!T9,1)=0,CONCATENATE(整月外場班表!T9,"00"),CONCATENATE(INT(整月外場班表!T9),"30"))</f>
        <v>00</v>
      </c>
      <c r="U9" s="24" t="str">
        <f>IF(MOD(整月外場班表!U9,1)=0,CONCATENATE(整月外場班表!U9,"00"),CONCATENATE(INT(整月外場班表!U9),"30"))</f>
        <v>00</v>
      </c>
      <c r="V9" s="23" t="str">
        <f>IF(MOD(整月外場班表!V9,1)=0,CONCATENATE(整月外場班表!V9,"00"),CONCATENATE(INT(整月外場班表!V9),"30"))</f>
        <v>00</v>
      </c>
      <c r="W9" s="24" t="str">
        <f>IF(MOD(整月外場班表!W9,1)=0,CONCATENATE(整月外場班表!W9,"00"),CONCATENATE(INT(整月外場班表!W9),"30"))</f>
        <v>00</v>
      </c>
      <c r="X9" s="23" t="str">
        <f>IF(MOD(整月外場班表!X9,1)=0,CONCATENATE(整月外場班表!X9,"00"),CONCATENATE(INT(整月外場班表!X9),"30"))</f>
        <v>00</v>
      </c>
      <c r="Y9" s="24" t="str">
        <f>IF(MOD(整月外場班表!Y9,1)=0,CONCATENATE(整月外場班表!Y9,"00"),CONCATENATE(INT(整月外場班表!Y9),"30"))</f>
        <v>00</v>
      </c>
      <c r="Z9" s="23" t="str">
        <f>IF(MOD(整月外場班表!Z9,1)=0,CONCATENATE(整月外場班表!Z9,"00"),CONCATENATE(INT(整月外場班表!Z9),"30"))</f>
        <v>00</v>
      </c>
      <c r="AA9" s="24" t="str">
        <f>IF(MOD(整月外場班表!AA9,1)=0,CONCATENATE(整月外場班表!AA9,"00"),CONCATENATE(INT(整月外場班表!AA9),"30"))</f>
        <v>00</v>
      </c>
      <c r="AB9" s="23" t="str">
        <f>IF(MOD(整月外場班表!AB9,1)=0,CONCATENATE(整月外場班表!AB9,"00"),CONCATENATE(INT(整月外場班表!AB9),"30"))</f>
        <v>00</v>
      </c>
      <c r="AC9" s="24" t="str">
        <f>IF(MOD(整月外場班表!AC9,1)=0,CONCATENATE(整月外場班表!AC9,"00"),CONCATENATE(INT(整月外場班表!AC9),"30"))</f>
        <v>00</v>
      </c>
      <c r="AD9" s="23" t="str">
        <f>IF(MOD(整月外場班表!AD9,1)=0,CONCATENATE(整月外場班表!AD9,"00"),CONCATENATE(INT(整月外場班表!AD9),"30"))</f>
        <v>00</v>
      </c>
      <c r="AE9" s="24" t="str">
        <f>IF(MOD(整月外場班表!AE9,1)=0,CONCATENATE(整月外場班表!AE9,"00"),CONCATENATE(INT(整月外場班表!AE9),"30"))</f>
        <v>00</v>
      </c>
      <c r="AF9" s="23" t="str">
        <f>IF(MOD(整月外場班表!AF9,1)=0,CONCATENATE(整月外場班表!AF9,"00"),CONCATENATE(INT(整月外場班表!AF9),"30"))</f>
        <v>00</v>
      </c>
      <c r="AG9" s="24" t="str">
        <f>IF(MOD(整月外場班表!AG9,1)=0,CONCATENATE(整月外場班表!AG9,"00"),CONCATENATE(INT(整月外場班表!AG9),"30"))</f>
        <v>00</v>
      </c>
      <c r="AH9" s="23" t="str">
        <f>IF(MOD(整月外場班表!AH9,1)=0,CONCATENATE(整月外場班表!AH9,"00"),CONCATENATE(INT(整月外場班表!AH9),"30"))</f>
        <v>00</v>
      </c>
      <c r="AI9" s="24" t="str">
        <f>IF(MOD(整月外場班表!AI9,1)=0,CONCATENATE(整月外場班表!AI9,"00"),CONCATENATE(INT(整月外場班表!AI9),"30"))</f>
        <v>00</v>
      </c>
      <c r="AJ9" s="23" t="str">
        <f>IF(MOD(整月外場班表!AJ9,1)=0,CONCATENATE(整月外場班表!AJ9,"00"),CONCATENATE(INT(整月外場班表!AJ9),"30"))</f>
        <v>00</v>
      </c>
      <c r="AK9" s="24" t="str">
        <f>IF(MOD(整月外場班表!AK9,1)=0,CONCATENATE(整月外場班表!AK9,"00"),CONCATENATE(INT(整月外場班表!AK9),"30"))</f>
        <v>00</v>
      </c>
      <c r="AL9" s="23" t="str">
        <f>IF(MOD(整月外場班表!AL9,1)=0,CONCATENATE(整月外場班表!AL9,"00"),CONCATENATE(INT(整月外場班表!AL9),"30"))</f>
        <v>00</v>
      </c>
      <c r="AM9" s="24" t="str">
        <f>IF(MOD(整月外場班表!AM9,1)=0,CONCATENATE(整月外場班表!AM9,"00"),CONCATENATE(INT(整月外場班表!AM9),"30"))</f>
        <v>00</v>
      </c>
      <c r="AN9" s="23" t="str">
        <f>IF(MOD(整月外場班表!AN9,1)=0,CONCATENATE(整月外場班表!AN9,"00"),CONCATENATE(INT(整月外場班表!AN9),"30"))</f>
        <v>00</v>
      </c>
      <c r="AO9" s="24" t="str">
        <f>IF(MOD(整月外場班表!AO9,1)=0,CONCATENATE(整月外場班表!AO9,"00"),CONCATENATE(INT(整月外場班表!AO9),"30"))</f>
        <v>00</v>
      </c>
      <c r="AP9" s="23" t="str">
        <f>IF(MOD(整月外場班表!AP9,1)=0,CONCATENATE(整月外場班表!AP9,"00"),CONCATENATE(INT(整月外場班表!AP9),"30"))</f>
        <v>00</v>
      </c>
      <c r="AQ9" s="24" t="str">
        <f>IF(MOD(整月外場班表!AQ9,1)=0,CONCATENATE(整月外場班表!AQ9,"00"),CONCATENATE(INT(整月外場班表!AQ9),"30"))</f>
        <v>00</v>
      </c>
      <c r="AR9" s="23" t="str">
        <f>IF(MOD(整月外場班表!AR9,1)=0,CONCATENATE(整月外場班表!AR9,"00"),CONCATENATE(INT(整月外場班表!AR9),"30"))</f>
        <v>00</v>
      </c>
      <c r="AS9" s="24" t="str">
        <f>IF(MOD(整月外場班表!AS9,1)=0,CONCATENATE(整月外場班表!AS9,"00"),CONCATENATE(INT(整月外場班表!AS9),"30"))</f>
        <v>00</v>
      </c>
      <c r="AT9" s="23" t="str">
        <f>IF(MOD(整月外場班表!AT9,1)=0,CONCATENATE(整月外場班表!AT9,"00"),CONCATENATE(INT(整月外場班表!AT9),"30"))</f>
        <v>00</v>
      </c>
      <c r="AU9" s="24" t="str">
        <f>IF(MOD(整月外場班表!AU9,1)=0,CONCATENATE(整月外場班表!AU9,"00"),CONCATENATE(INT(整月外場班表!AU9),"30"))</f>
        <v>00</v>
      </c>
      <c r="AV9" s="23" t="str">
        <f>IF(MOD(整月外場班表!AV9,1)=0,CONCATENATE(整月外場班表!AV9,"00"),CONCATENATE(INT(整月外場班表!AV9),"30"))</f>
        <v>00</v>
      </c>
      <c r="AW9" s="24" t="str">
        <f>IF(MOD(整月外場班表!AW9,1)=0,CONCATENATE(整月外場班表!AW9,"00"),CONCATENATE(INT(整月外場班表!AW9),"30"))</f>
        <v>00</v>
      </c>
      <c r="AX9" s="23" t="str">
        <f>IF(MOD(整月外場班表!AX9,1)=0,CONCATENATE(整月外場班表!AX9,"00"),CONCATENATE(INT(整月外場班表!AX9),"30"))</f>
        <v>00</v>
      </c>
      <c r="AY9" s="24" t="str">
        <f>IF(MOD(整月外場班表!AY9,1)=0,CONCATENATE(整月外場班表!AY9,"00"),CONCATENATE(INT(整月外場班表!AY9),"30"))</f>
        <v>00</v>
      </c>
      <c r="AZ9" s="23" t="str">
        <f>IF(MOD(整月外場班表!AZ9,1)=0,CONCATENATE(整月外場班表!AZ9,"00"),CONCATENATE(INT(整月外場班表!AZ9),"30"))</f>
        <v>00</v>
      </c>
      <c r="BA9" s="24" t="str">
        <f>IF(MOD(整月外場班表!BA9,1)=0,CONCATENATE(整月外場班表!BA9,"00"),CONCATENATE(INT(整月外場班表!BA9),"30"))</f>
        <v>00</v>
      </c>
      <c r="BB9" s="23" t="str">
        <f>IF(MOD(整月外場班表!BB9,1)=0,CONCATENATE(整月外場班表!BB9,"00"),CONCATENATE(INT(整月外場班表!BB9),"30"))</f>
        <v>00</v>
      </c>
      <c r="BC9" s="24" t="str">
        <f>IF(MOD(整月外場班表!BC9,1)=0,CONCATENATE(整月外場班表!BC9,"00"),CONCATENATE(INT(整月外場班表!BC9),"30"))</f>
        <v>00</v>
      </c>
      <c r="BD9" s="23" t="str">
        <f>IF(MOD(整月外場班表!BD9,1)=0,CONCATENATE(整月外場班表!BD9,"00"),CONCATENATE(INT(整月外場班表!BD9),"30"))</f>
        <v>00</v>
      </c>
      <c r="BE9" s="24" t="str">
        <f>IF(MOD(整月外場班表!BE9,1)=0,CONCATENATE(整月外場班表!BE9,"00"),CONCATENATE(INT(整月外場班表!BE9),"30"))</f>
        <v>00</v>
      </c>
      <c r="BF9" s="23" t="str">
        <f>IF(MOD(整月外場班表!BF9,1)=0,CONCATENATE(整月外場班表!BF9,"00"),CONCATENATE(INT(整月外場班表!BF9),"30"))</f>
        <v>00</v>
      </c>
      <c r="BG9" s="24" t="str">
        <f>IF(MOD(整月外場班表!BG9,1)=0,CONCATENATE(整月外場班表!BG9,"00"),CONCATENATE(INT(整月外場班表!BG9),"30"))</f>
        <v>00</v>
      </c>
      <c r="BH9" s="23" t="str">
        <f>IF(MOD(整月外場班表!BH9,1)=0,CONCATENATE(整月外場班表!BH9,"00"),CONCATENATE(INT(整月外場班表!BH9),"30"))</f>
        <v>00</v>
      </c>
      <c r="BI9" s="24" t="str">
        <f>IF(MOD(整月外場班表!BI9,1)=0,CONCATENATE(整月外場班表!BI9,"00"),CONCATENATE(INT(整月外場班表!BI9),"30"))</f>
        <v>00</v>
      </c>
      <c r="BJ9" s="23" t="str">
        <f>IF(MOD(整月外場班表!BJ9,1)=0,CONCATENATE(整月外場班表!BJ9,"00"),CONCATENATE(INT(整月外場班表!BJ9),"30"))</f>
        <v>00</v>
      </c>
      <c r="BK9" s="24" t="str">
        <f>IF(MOD(整月外場班表!BK9,1)=0,CONCATENATE(整月外場班表!BK9,"00"),CONCATENATE(INT(整月外場班表!BK9),"30"))</f>
        <v>00</v>
      </c>
      <c r="BL9" s="23" t="str">
        <f>IF(MOD(整月外場班表!BL9,1)=0,CONCATENATE(整月外場班表!BL9,"00"),CONCATENATE(INT(整月外場班表!BL9),"30"))</f>
        <v>00</v>
      </c>
      <c r="BM9" s="24" t="str">
        <f>IF(MOD(整月外場班表!BM9,1)=0,CONCATENATE(整月外場班表!BM9,"00"),CONCATENATE(INT(整月外場班表!BM9),"30"))</f>
        <v>00</v>
      </c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</row>
    <row r="10" spans="1:81" ht="15" thickBot="1">
      <c r="A10" s="84"/>
      <c r="B10" s="86"/>
      <c r="C10" s="94"/>
      <c r="D10" s="25" t="str">
        <f>IF(MOD(整月外場班表!D10,1)=0,CONCATENATE(整月外場班表!D10,"00"),CONCATENATE(INT(整月外場班表!D10),"30"))</f>
        <v>00</v>
      </c>
      <c r="E10" s="26" t="str">
        <f>IF(MOD(整月外場班表!E10,1)=0,CONCATENATE(整月外場班表!E10,"00"),CONCATENATE(INT(整月外場班表!E10),"30"))</f>
        <v>00</v>
      </c>
      <c r="F10" s="25" t="str">
        <f>IF(MOD(整月外場班表!F10,1)=0,CONCATENATE(整月外場班表!F10,"00"),CONCATENATE(INT(整月外場班表!F10),"30"))</f>
        <v>00</v>
      </c>
      <c r="G10" s="26" t="str">
        <f>IF(MOD(整月外場班表!G10,1)=0,CONCATENATE(整月外場班表!G10,"00"),CONCATENATE(INT(整月外場班表!G10),"30"))</f>
        <v>00</v>
      </c>
      <c r="H10" s="25" t="str">
        <f>IF(MOD(整月外場班表!H10,1)=0,CONCATENATE(整月外場班表!H10,"00"),CONCATENATE(INT(整月外場班表!H10),"30"))</f>
        <v>00</v>
      </c>
      <c r="I10" s="26" t="str">
        <f>IF(MOD(整月外場班表!I10,1)=0,CONCATENATE(整月外場班表!I10,"00"),CONCATENATE(INT(整月外場班表!I10),"30"))</f>
        <v>00</v>
      </c>
      <c r="J10" s="25" t="str">
        <f>IF(MOD(整月外場班表!J10,1)=0,CONCATENATE(整月外場班表!J10,"00"),CONCATENATE(INT(整月外場班表!J10),"30"))</f>
        <v>00</v>
      </c>
      <c r="K10" s="26" t="str">
        <f>IF(MOD(整月外場班表!K10,1)=0,CONCATENATE(整月外場班表!K10,"00"),CONCATENATE(INT(整月外場班表!K10),"30"))</f>
        <v>00</v>
      </c>
      <c r="L10" s="25" t="str">
        <f>IF(MOD(整月外場班表!L10,1)=0,CONCATENATE(整月外場班表!L10,"00"),CONCATENATE(INT(整月外場班表!L10),"30"))</f>
        <v>00</v>
      </c>
      <c r="M10" s="26" t="str">
        <f>IF(MOD(整月外場班表!M10,1)=0,CONCATENATE(整月外場班表!M10,"00"),CONCATENATE(INT(整月外場班表!M10),"30"))</f>
        <v>00</v>
      </c>
      <c r="N10" s="25" t="str">
        <f>IF(MOD(整月外場班表!N10,1)=0,CONCATENATE(整月外場班表!N10,"00"),CONCATENATE(INT(整月外場班表!N10),"30"))</f>
        <v>00</v>
      </c>
      <c r="O10" s="26" t="str">
        <f>IF(MOD(整月外場班表!O10,1)=0,CONCATENATE(整月外場班表!O10,"00"),CONCATENATE(INT(整月外場班表!O10),"30"))</f>
        <v>00</v>
      </c>
      <c r="P10" s="25" t="str">
        <f>IF(MOD(整月外場班表!P10,1)=0,CONCATENATE(整月外場班表!P10,"00"),CONCATENATE(INT(整月外場班表!P10),"30"))</f>
        <v>00</v>
      </c>
      <c r="Q10" s="26" t="str">
        <f>IF(MOD(整月外場班表!Q10,1)=0,CONCATENATE(整月外場班表!Q10,"00"),CONCATENATE(INT(整月外場班表!Q10),"30"))</f>
        <v>00</v>
      </c>
      <c r="R10" s="25" t="str">
        <f>IF(MOD(整月外場班表!R10,1)=0,CONCATENATE(整月外場班表!R10,"00"),CONCATENATE(INT(整月外場班表!R10),"30"))</f>
        <v>00</v>
      </c>
      <c r="S10" s="26" t="str">
        <f>IF(MOD(整月外場班表!S10,1)=0,CONCATENATE(整月外場班表!S10,"00"),CONCATENATE(INT(整月外場班表!S10),"30"))</f>
        <v>00</v>
      </c>
      <c r="T10" s="25" t="str">
        <f>IF(MOD(整月外場班表!T10,1)=0,CONCATENATE(整月外場班表!T10,"00"),CONCATENATE(INT(整月外場班表!T10),"30"))</f>
        <v>00</v>
      </c>
      <c r="U10" s="26" t="str">
        <f>IF(MOD(整月外場班表!U10,1)=0,CONCATENATE(整月外場班表!U10,"00"),CONCATENATE(INT(整月外場班表!U10),"30"))</f>
        <v>00</v>
      </c>
      <c r="V10" s="25" t="str">
        <f>IF(MOD(整月外場班表!V10,1)=0,CONCATENATE(整月外場班表!V10,"00"),CONCATENATE(INT(整月外場班表!V10),"30"))</f>
        <v>00</v>
      </c>
      <c r="W10" s="26" t="str">
        <f>IF(MOD(整月外場班表!W10,1)=0,CONCATENATE(整月外場班表!W10,"00"),CONCATENATE(INT(整月外場班表!W10),"30"))</f>
        <v>00</v>
      </c>
      <c r="X10" s="25" t="str">
        <f>IF(MOD(整月外場班表!X10,1)=0,CONCATENATE(整月外場班表!X10,"00"),CONCATENATE(INT(整月外場班表!X10),"30"))</f>
        <v>00</v>
      </c>
      <c r="Y10" s="26" t="str">
        <f>IF(MOD(整月外場班表!Y10,1)=0,CONCATENATE(整月外場班表!Y10,"00"),CONCATENATE(INT(整月外場班表!Y10),"30"))</f>
        <v>00</v>
      </c>
      <c r="Z10" s="25" t="str">
        <f>IF(MOD(整月外場班表!Z10,1)=0,CONCATENATE(整月外場班表!Z10,"00"),CONCATENATE(INT(整月外場班表!Z10),"30"))</f>
        <v>00</v>
      </c>
      <c r="AA10" s="26" t="str">
        <f>IF(MOD(整月外場班表!AA10,1)=0,CONCATENATE(整月外場班表!AA10,"00"),CONCATENATE(INT(整月外場班表!AA10),"30"))</f>
        <v>00</v>
      </c>
      <c r="AB10" s="25" t="str">
        <f>IF(MOD(整月外場班表!AB10,1)=0,CONCATENATE(整月外場班表!AB10,"00"),CONCATENATE(INT(整月外場班表!AB10),"30"))</f>
        <v>00</v>
      </c>
      <c r="AC10" s="26" t="str">
        <f>IF(MOD(整月外場班表!AC10,1)=0,CONCATENATE(整月外場班表!AC10,"00"),CONCATENATE(INT(整月外場班表!AC10),"30"))</f>
        <v>00</v>
      </c>
      <c r="AD10" s="25" t="str">
        <f>IF(MOD(整月外場班表!AD10,1)=0,CONCATENATE(整月外場班表!AD10,"00"),CONCATENATE(INT(整月外場班表!AD10),"30"))</f>
        <v>00</v>
      </c>
      <c r="AE10" s="26" t="str">
        <f>IF(MOD(整月外場班表!AE10,1)=0,CONCATENATE(整月外場班表!AE10,"00"),CONCATENATE(INT(整月外場班表!AE10),"30"))</f>
        <v>00</v>
      </c>
      <c r="AF10" s="25" t="str">
        <f>IF(MOD(整月外場班表!AF10,1)=0,CONCATENATE(整月外場班表!AF10,"00"),CONCATENATE(INT(整月外場班表!AF10),"30"))</f>
        <v>00</v>
      </c>
      <c r="AG10" s="26" t="str">
        <f>IF(MOD(整月外場班表!AG10,1)=0,CONCATENATE(整月外場班表!AG10,"00"),CONCATENATE(INT(整月外場班表!AG10),"30"))</f>
        <v>00</v>
      </c>
      <c r="AH10" s="25" t="str">
        <f>IF(MOD(整月外場班表!AH10,1)=0,CONCATENATE(整月外場班表!AH10,"00"),CONCATENATE(INT(整月外場班表!AH10),"30"))</f>
        <v>00</v>
      </c>
      <c r="AI10" s="26" t="str">
        <f>IF(MOD(整月外場班表!AI10,1)=0,CONCATENATE(整月外場班表!AI10,"00"),CONCATENATE(INT(整月外場班表!AI10),"30"))</f>
        <v>00</v>
      </c>
      <c r="AJ10" s="25" t="str">
        <f>IF(MOD(整月外場班表!AJ10,1)=0,CONCATENATE(整月外場班表!AJ10,"00"),CONCATENATE(INT(整月外場班表!AJ10),"30"))</f>
        <v>00</v>
      </c>
      <c r="AK10" s="26" t="str">
        <f>IF(MOD(整月外場班表!AK10,1)=0,CONCATENATE(整月外場班表!AK10,"00"),CONCATENATE(INT(整月外場班表!AK10),"30"))</f>
        <v>00</v>
      </c>
      <c r="AL10" s="25" t="str">
        <f>IF(MOD(整月外場班表!AL10,1)=0,CONCATENATE(整月外場班表!AL10,"00"),CONCATENATE(INT(整月外場班表!AL10),"30"))</f>
        <v>00</v>
      </c>
      <c r="AM10" s="26" t="str">
        <f>IF(MOD(整月外場班表!AM10,1)=0,CONCATENATE(整月外場班表!AM10,"00"),CONCATENATE(INT(整月外場班表!AM10),"30"))</f>
        <v>00</v>
      </c>
      <c r="AN10" s="25" t="str">
        <f>IF(MOD(整月外場班表!AN10,1)=0,CONCATENATE(整月外場班表!AN10,"00"),CONCATENATE(INT(整月外場班表!AN10),"30"))</f>
        <v>00</v>
      </c>
      <c r="AO10" s="26" t="str">
        <f>IF(MOD(整月外場班表!AO10,1)=0,CONCATENATE(整月外場班表!AO10,"00"),CONCATENATE(INT(整月外場班表!AO10),"30"))</f>
        <v>00</v>
      </c>
      <c r="AP10" s="25" t="str">
        <f>IF(MOD(整月外場班表!AP10,1)=0,CONCATENATE(整月外場班表!AP10,"00"),CONCATENATE(INT(整月外場班表!AP10),"30"))</f>
        <v>00</v>
      </c>
      <c r="AQ10" s="26" t="str">
        <f>IF(MOD(整月外場班表!AQ10,1)=0,CONCATENATE(整月外場班表!AQ10,"00"),CONCATENATE(INT(整月外場班表!AQ10),"30"))</f>
        <v>00</v>
      </c>
      <c r="AR10" s="25" t="str">
        <f>IF(MOD(整月外場班表!AR10,1)=0,CONCATENATE(整月外場班表!AR10,"00"),CONCATENATE(INT(整月外場班表!AR10),"30"))</f>
        <v>00</v>
      </c>
      <c r="AS10" s="26" t="str">
        <f>IF(MOD(整月外場班表!AS10,1)=0,CONCATENATE(整月外場班表!AS10,"00"),CONCATENATE(INT(整月外場班表!AS10),"30"))</f>
        <v>00</v>
      </c>
      <c r="AT10" s="25" t="str">
        <f>IF(MOD(整月外場班表!AT10,1)=0,CONCATENATE(整月外場班表!AT10,"00"),CONCATENATE(INT(整月外場班表!AT10),"30"))</f>
        <v>00</v>
      </c>
      <c r="AU10" s="26" t="str">
        <f>IF(MOD(整月外場班表!AU10,1)=0,CONCATENATE(整月外場班表!AU10,"00"),CONCATENATE(INT(整月外場班表!AU10),"30"))</f>
        <v>00</v>
      </c>
      <c r="AV10" s="25" t="str">
        <f>IF(MOD(整月外場班表!AV10,1)=0,CONCATENATE(整月外場班表!AV10,"00"),CONCATENATE(INT(整月外場班表!AV10),"30"))</f>
        <v>00</v>
      </c>
      <c r="AW10" s="26" t="str">
        <f>IF(MOD(整月外場班表!AW10,1)=0,CONCATENATE(整月外場班表!AW10,"00"),CONCATENATE(INT(整月外場班表!AW10),"30"))</f>
        <v>00</v>
      </c>
      <c r="AX10" s="25" t="str">
        <f>IF(MOD(整月外場班表!AX10,1)=0,CONCATENATE(整月外場班表!AX10,"00"),CONCATENATE(INT(整月外場班表!AX10),"30"))</f>
        <v>00</v>
      </c>
      <c r="AY10" s="26" t="str">
        <f>IF(MOD(整月外場班表!AY10,1)=0,CONCATENATE(整月外場班表!AY10,"00"),CONCATENATE(INT(整月外場班表!AY10),"30"))</f>
        <v>00</v>
      </c>
      <c r="AZ10" s="25" t="str">
        <f>IF(MOD(整月外場班表!AZ10,1)=0,CONCATENATE(整月外場班表!AZ10,"00"),CONCATENATE(INT(整月外場班表!AZ10),"30"))</f>
        <v>00</v>
      </c>
      <c r="BA10" s="26" t="str">
        <f>IF(MOD(整月外場班表!BA10,1)=0,CONCATENATE(整月外場班表!BA10,"00"),CONCATENATE(INT(整月外場班表!BA10),"30"))</f>
        <v>00</v>
      </c>
      <c r="BB10" s="25" t="str">
        <f>IF(MOD(整月外場班表!BB10,1)=0,CONCATENATE(整月外場班表!BB10,"00"),CONCATENATE(INT(整月外場班表!BB10),"30"))</f>
        <v>00</v>
      </c>
      <c r="BC10" s="26" t="str">
        <f>IF(MOD(整月外場班表!BC10,1)=0,CONCATENATE(整月外場班表!BC10,"00"),CONCATENATE(INT(整月外場班表!BC10),"30"))</f>
        <v>00</v>
      </c>
      <c r="BD10" s="25" t="str">
        <f>IF(MOD(整月外場班表!BD10,1)=0,CONCATENATE(整月外場班表!BD10,"00"),CONCATENATE(INT(整月外場班表!BD10),"30"))</f>
        <v>00</v>
      </c>
      <c r="BE10" s="26" t="str">
        <f>IF(MOD(整月外場班表!BE10,1)=0,CONCATENATE(整月外場班表!BE10,"00"),CONCATENATE(INT(整月外場班表!BE10),"30"))</f>
        <v>00</v>
      </c>
      <c r="BF10" s="25" t="str">
        <f>IF(MOD(整月外場班表!BF10,1)=0,CONCATENATE(整月外場班表!BF10,"00"),CONCATENATE(INT(整月外場班表!BF10),"30"))</f>
        <v>00</v>
      </c>
      <c r="BG10" s="26" t="str">
        <f>IF(MOD(整月外場班表!BG10,1)=0,CONCATENATE(整月外場班表!BG10,"00"),CONCATENATE(INT(整月外場班表!BG10),"30"))</f>
        <v>00</v>
      </c>
      <c r="BH10" s="25" t="str">
        <f>IF(MOD(整月外場班表!BH10,1)=0,CONCATENATE(整月外場班表!BH10,"00"),CONCATENATE(INT(整月外場班表!BH10),"30"))</f>
        <v>00</v>
      </c>
      <c r="BI10" s="26" t="str">
        <f>IF(MOD(整月外場班表!BI10,1)=0,CONCATENATE(整月外場班表!BI10,"00"),CONCATENATE(INT(整月外場班表!BI10),"30"))</f>
        <v>00</v>
      </c>
      <c r="BJ10" s="25" t="str">
        <f>IF(MOD(整月外場班表!BJ10,1)=0,CONCATENATE(整月外場班表!BJ10,"00"),CONCATENATE(INT(整月外場班表!BJ10),"30"))</f>
        <v>00</v>
      </c>
      <c r="BK10" s="26" t="str">
        <f>IF(MOD(整月外場班表!BK10,1)=0,CONCATENATE(整月外場班表!BK10,"00"),CONCATENATE(INT(整月外場班表!BK10),"30"))</f>
        <v>00</v>
      </c>
      <c r="BL10" s="25" t="str">
        <f>IF(MOD(整月外場班表!BL10,1)=0,CONCATENATE(整月外場班表!BL10,"00"),CONCATENATE(INT(整月外場班表!BL10),"30"))</f>
        <v>00</v>
      </c>
      <c r="BM10" s="26" t="str">
        <f>IF(MOD(整月外場班表!BM10,1)=0,CONCATENATE(整月外場班表!BM10,"00"),CONCATENATE(INT(整月外場班表!BM10),"30"))</f>
        <v>00</v>
      </c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s="1" customFormat="1" ht="40" customHeight="1" thickBot="1">
      <c r="A11" s="47"/>
      <c r="B11" s="84"/>
      <c r="C11" s="95"/>
      <c r="D11" s="104" t="str" cm="1">
        <f t="array" ref="D11">_xlfn.IFS(AND(D9="00",D10="00"),";H",AND(D9&lt;&gt;"00",D10&lt;&gt;"00"),CONCATENATE(D9,"-",E10,"(",E9,"-",D10,")"),AND(D9="00",D10&lt;&gt;"00"),CONCATENATE(D10,"-",E10),AND(D9&lt;&gt;"00",D10="00"),CONCATENATE(D9,"-",E9))</f>
        <v>;H</v>
      </c>
      <c r="E11" s="105"/>
      <c r="F11" s="104" t="str" cm="1">
        <f t="array" ref="F11">_xlfn.IFS(AND(F9="00",F10="00"),";H",AND(F9&lt;&gt;"00",F10&lt;&gt;"00"),CONCATENATE(F9,"-",G10,"(",G9,"-",F10,")"),AND(F9="00",F10&lt;&gt;"00"),CONCATENATE(F10,"-",G10),AND(F9&lt;&gt;"00",F10="00"),CONCATENATE(F9,"-",G9))</f>
        <v>;H</v>
      </c>
      <c r="G11" s="105"/>
      <c r="H11" s="104" t="str" cm="1">
        <f t="array" ref="H11">_xlfn.IFS(AND(H9="00",H10="00"),";H",AND(H9&lt;&gt;"00",H10&lt;&gt;"00"),CONCATENATE(H9,"-",I10,"(",I9,"-",H10,")"),AND(H9="00",H10&lt;&gt;"00"),CONCATENATE(H10,"-",I10),AND(H9&lt;&gt;"00",H10="00"),CONCATENATE(H9,"-",I9))</f>
        <v>;H</v>
      </c>
      <c r="I11" s="105"/>
      <c r="J11" s="104" t="str" cm="1">
        <f t="array" ref="J11">_xlfn.IFS(AND(J9="00",J10="00"),";H",AND(J9&lt;&gt;"00",J10&lt;&gt;"00"),CONCATENATE(J9,"-",K10,"(",K9,"-",J10,")"),AND(J9="00",J10&lt;&gt;"00"),CONCATENATE(J10,"-",K10),AND(J9&lt;&gt;"00",J10="00"),CONCATENATE(J9,"-",K9))</f>
        <v>;H</v>
      </c>
      <c r="K11" s="105"/>
      <c r="L11" s="104" t="str" cm="1">
        <f t="array" ref="L11">_xlfn.IFS(AND(L9="00",L10="00"),";H",AND(L9&lt;&gt;"00",L10&lt;&gt;"00"),CONCATENATE(L9,"-",M10,"(",M9,"-",L10,")"),AND(L9="00",L10&lt;&gt;"00"),CONCATENATE(L10,"-",M10),AND(L9&lt;&gt;"00",L10="00"),CONCATENATE(L9,"-",M9))</f>
        <v>;H</v>
      </c>
      <c r="M11" s="105"/>
      <c r="N11" s="104" t="str" cm="1">
        <f t="array" ref="N11">_xlfn.IFS(AND(N9="00",N10="00"),";H",AND(N9&lt;&gt;"00",N10&lt;&gt;"00"),CONCATENATE(N9,"-",O10,"(",O9,"-",N10,")"),AND(N9="00",N10&lt;&gt;"00"),CONCATENATE(N10,"-",O10),AND(N9&lt;&gt;"00",N10="00"),CONCATENATE(N9,"-",O9))</f>
        <v>;H</v>
      </c>
      <c r="O11" s="105"/>
      <c r="P11" s="104" t="str" cm="1">
        <f t="array" ref="P11">_xlfn.IFS(AND(P9="00",P10="00"),";H",AND(P9&lt;&gt;"00",P10&lt;&gt;"00"),CONCATENATE(P9,"-",Q10,"(",Q9,"-",P10,")"),AND(P9="00",P10&lt;&gt;"00"),CONCATENATE(P10,"-",Q10),AND(P9&lt;&gt;"00",P10="00"),CONCATENATE(P9,"-",Q9))</f>
        <v>;H</v>
      </c>
      <c r="Q11" s="105"/>
      <c r="R11" s="104" t="str" cm="1">
        <f t="array" ref="R11">_xlfn.IFS(AND(R9="00",R10="00"),";H",AND(R9&lt;&gt;"00",R10&lt;&gt;"00"),CONCATENATE(R9,"-",S10,"(",S9,"-",R10,")"),AND(R9="00",R10&lt;&gt;"00"),CONCATENATE(R10,"-",S10),AND(R9&lt;&gt;"00",R10="00"),CONCATENATE(R9,"-",S9))</f>
        <v>;H</v>
      </c>
      <c r="S11" s="105"/>
      <c r="T11" s="104" t="str" cm="1">
        <f t="array" ref="T11">_xlfn.IFS(AND(T9="00",T10="00"),";H",AND(T9&lt;&gt;"00",T10&lt;&gt;"00"),CONCATENATE(T9,"-",U10,"(",U9,"-",T10,")"),AND(T9="00",T10&lt;&gt;"00"),CONCATENATE(T10,"-",U10),AND(T9&lt;&gt;"00",T10="00"),CONCATENATE(T9,"-",U9))</f>
        <v>;H</v>
      </c>
      <c r="U11" s="105"/>
      <c r="V11" s="104" t="str" cm="1">
        <f t="array" ref="V11">_xlfn.IFS(AND(V9="00",V10="00"),";H",AND(V9&lt;&gt;"00",V10&lt;&gt;"00"),CONCATENATE(V9,"-",W10,"(",W9,"-",V10,")"),AND(V9="00",V10&lt;&gt;"00"),CONCATENATE(V10,"-",W10),AND(V9&lt;&gt;"00",V10="00"),CONCATENATE(V9,"-",W9))</f>
        <v>;H</v>
      </c>
      <c r="W11" s="105"/>
      <c r="X11" s="104" t="str" cm="1">
        <f t="array" ref="X11">_xlfn.IFS(AND(X9="00",X10="00"),";H",AND(X9&lt;&gt;"00",X10&lt;&gt;"00"),CONCATENATE(X9,"-",Y10,"(",Y9,"-",X10,")"),AND(X9="00",X10&lt;&gt;"00"),CONCATENATE(X10,"-",Y10),AND(X9&lt;&gt;"00",X10="00"),CONCATENATE(X9,"-",Y9))</f>
        <v>;H</v>
      </c>
      <c r="Y11" s="105"/>
      <c r="Z11" s="104" t="str" cm="1">
        <f t="array" ref="Z11">_xlfn.IFS(AND(Z9="00",Z10="00"),";H",AND(Z9&lt;&gt;"00",Z10&lt;&gt;"00"),CONCATENATE(Z9,"-",AA10,"(",AA9,"-",Z10,")"),AND(Z9="00",Z10&lt;&gt;"00"),CONCATENATE(Z10,"-",AA10),AND(Z9&lt;&gt;"00",Z10="00"),CONCATENATE(Z9,"-",AA9))</f>
        <v>;H</v>
      </c>
      <c r="AA11" s="105"/>
      <c r="AB11" s="104" t="str" cm="1">
        <f t="array" ref="AB11">_xlfn.IFS(AND(AB9="00",AB10="00"),";H",AND(AB9&lt;&gt;"00",AB10&lt;&gt;"00"),CONCATENATE(AB9,"-",AC10,"(",AC9,"-",AB10,")"),AND(AB9="00",AB10&lt;&gt;"00"),CONCATENATE(AB10,"-",AC10),AND(AB9&lt;&gt;"00",AB10="00"),CONCATENATE(AB9,"-",AC9))</f>
        <v>;H</v>
      </c>
      <c r="AC11" s="105"/>
      <c r="AD11" s="104" t="str" cm="1">
        <f t="array" ref="AD11">_xlfn.IFS(AND(AD9="00",AD10="00"),";H",AND(AD9&lt;&gt;"00",AD10&lt;&gt;"00"),CONCATENATE(AD9,"-",AE10,"(",AE9,"-",AD10,")"),AND(AD9="00",AD10&lt;&gt;"00"),CONCATENATE(AD10,"-",AE10),AND(AD9&lt;&gt;"00",AD10="00"),CONCATENATE(AD9,"-",AE9))</f>
        <v>;H</v>
      </c>
      <c r="AE11" s="105"/>
      <c r="AF11" s="104" t="str" cm="1">
        <f t="array" ref="AF11">_xlfn.IFS(AND(AF9="00",AF10="00"),";H",AND(AF9&lt;&gt;"00",AF10&lt;&gt;"00"),CONCATENATE(AF9,"-",AG10,"(",AG9,"-",AF10,")"),AND(AF9="00",AF10&lt;&gt;"00"),CONCATENATE(AF10,"-",AG10),AND(AF9&lt;&gt;"00",AF10="00"),CONCATENATE(AF9,"-",AG9))</f>
        <v>;H</v>
      </c>
      <c r="AG11" s="105"/>
      <c r="AH11" s="104" t="str" cm="1">
        <f t="array" ref="AH11">_xlfn.IFS(AND(AH9="00",AH10="00"),";H",AND(AH9&lt;&gt;"00",AH10&lt;&gt;"00"),CONCATENATE(AH9,"-",AI10,"(",AI9,"-",AH10,")"),AND(AH9="00",AH10&lt;&gt;"00"),CONCATENATE(AH10,"-",AI10),AND(AH9&lt;&gt;"00",AH10="00"),CONCATENATE(AH9,"-",AI9))</f>
        <v>;H</v>
      </c>
      <c r="AI11" s="105"/>
      <c r="AJ11" s="104" t="str" cm="1">
        <f t="array" ref="AJ11">_xlfn.IFS(AND(AJ9="00",AJ10="00"),";H",AND(AJ9&lt;&gt;"00",AJ10&lt;&gt;"00"),CONCATENATE(AJ9,"-",AK10,"(",AK9,"-",AJ10,")"),AND(AJ9="00",AJ10&lt;&gt;"00"),CONCATENATE(AJ10,"-",AK10),AND(AJ9&lt;&gt;"00",AJ10="00"),CONCATENATE(AJ9,"-",AK9))</f>
        <v>;H</v>
      </c>
      <c r="AK11" s="105"/>
      <c r="AL11" s="104" t="str" cm="1">
        <f t="array" ref="AL11">_xlfn.IFS(AND(AL9="00",AL10="00"),";H",AND(AL9&lt;&gt;"00",AL10&lt;&gt;"00"),CONCATENATE(AL9,"-",AM10,"(",AM9,"-",AL10,")"),AND(AL9="00",AL10&lt;&gt;"00"),CONCATENATE(AL10,"-",AM10),AND(AL9&lt;&gt;"00",AL10="00"),CONCATENATE(AL9,"-",AM9))</f>
        <v>;H</v>
      </c>
      <c r="AM11" s="105"/>
      <c r="AN11" s="104" t="str" cm="1">
        <f t="array" ref="AN11">_xlfn.IFS(AND(AN9="00",AN10="00"),";H",AND(AN9&lt;&gt;"00",AN10&lt;&gt;"00"),CONCATENATE(AN9,"-",AO10,"(",AO9,"-",AN10,")"),AND(AN9="00",AN10&lt;&gt;"00"),CONCATENATE(AN10,"-",AO10),AND(AN9&lt;&gt;"00",AN10="00"),CONCATENATE(AN9,"-",AO9))</f>
        <v>;H</v>
      </c>
      <c r="AO11" s="105"/>
      <c r="AP11" s="104" t="str" cm="1">
        <f t="array" ref="AP11">_xlfn.IFS(AND(AP9="00",AP10="00"),";H",AND(AP9&lt;&gt;"00",AP10&lt;&gt;"00"),CONCATENATE(AP9,"-",AQ10,"(",AQ9,"-",AP10,")"),AND(AP9="00",AP10&lt;&gt;"00"),CONCATENATE(AP10,"-",AQ10),AND(AP9&lt;&gt;"00",AP10="00"),CONCATENATE(AP9,"-",AQ9))</f>
        <v>;H</v>
      </c>
      <c r="AQ11" s="105"/>
      <c r="AR11" s="104" t="str" cm="1">
        <f t="array" ref="AR11">_xlfn.IFS(AND(AR9="00",AR10="00"),";H",AND(AR9&lt;&gt;"00",AR10&lt;&gt;"00"),CONCATENATE(AR9,"-",AS10,"(",AS9,"-",AR10,")"),AND(AR9="00",AR10&lt;&gt;"00"),CONCATENATE(AR10,"-",AS10),AND(AR9&lt;&gt;"00",AR10="00"),CONCATENATE(AR9,"-",AS9))</f>
        <v>;H</v>
      </c>
      <c r="AS11" s="105"/>
      <c r="AT11" s="104" t="str" cm="1">
        <f t="array" ref="AT11">_xlfn.IFS(AND(AT9="00",AT10="00"),";H",AND(AT9&lt;&gt;"00",AT10&lt;&gt;"00"),CONCATENATE(AT9,"-",AU10,"(",AU9,"-",AT10,")"),AND(AT9="00",AT10&lt;&gt;"00"),CONCATENATE(AT10,"-",AU10),AND(AT9&lt;&gt;"00",AT10="00"),CONCATENATE(AT9,"-",AU9))</f>
        <v>;H</v>
      </c>
      <c r="AU11" s="105"/>
      <c r="AV11" s="104" t="str" cm="1">
        <f t="array" ref="AV11">_xlfn.IFS(AND(AV9="00",AV10="00"),";H",AND(AV9&lt;&gt;"00",AV10&lt;&gt;"00"),CONCATENATE(AV9,"-",AW10,"(",AW9,"-",AV10,")"),AND(AV9="00",AV10&lt;&gt;"00"),CONCATENATE(AV10,"-",AW10),AND(AV9&lt;&gt;"00",AV10="00"),CONCATENATE(AV9,"-",AW9))</f>
        <v>;H</v>
      </c>
      <c r="AW11" s="105"/>
      <c r="AX11" s="104" t="str" cm="1">
        <f t="array" ref="AX11">_xlfn.IFS(AND(AX9="00",AX10="00"),";H",AND(AX9&lt;&gt;"00",AX10&lt;&gt;"00"),CONCATENATE(AX9,"-",AY10,"(",AY9,"-",AX10,")"),AND(AX9="00",AX10&lt;&gt;"00"),CONCATENATE(AX10,"-",AY10),AND(AX9&lt;&gt;"00",AX10="00"),CONCATENATE(AX9,"-",AY9))</f>
        <v>;H</v>
      </c>
      <c r="AY11" s="105"/>
      <c r="AZ11" s="104" t="str" cm="1">
        <f t="array" ref="AZ11">_xlfn.IFS(AND(AZ9="00",AZ10="00"),";H",AND(AZ9&lt;&gt;"00",AZ10&lt;&gt;"00"),CONCATENATE(AZ9,"-",BA10,"(",BA9,"-",AZ10,")"),AND(AZ9="00",AZ10&lt;&gt;"00"),CONCATENATE(AZ10,"-",BA10),AND(AZ9&lt;&gt;"00",AZ10="00"),CONCATENATE(AZ9,"-",BA9))</f>
        <v>;H</v>
      </c>
      <c r="BA11" s="105"/>
      <c r="BB11" s="104" t="str" cm="1">
        <f t="array" ref="BB11">_xlfn.IFS(AND(BB9="00",BB10="00"),";H",AND(BB9&lt;&gt;"00",BB10&lt;&gt;"00"),CONCATENATE(BB9,"-",BC10,"(",BC9,"-",BB10,")"),AND(BB9="00",BB10&lt;&gt;"00"),CONCATENATE(BB10,"-",BC10),AND(BB9&lt;&gt;"00",BB10="00"),CONCATENATE(BB9,"-",BC9))</f>
        <v>;H</v>
      </c>
      <c r="BC11" s="105"/>
      <c r="BD11" s="104" t="str" cm="1">
        <f t="array" ref="BD11">_xlfn.IFS(AND(BD9="00",BD10="00"),";H",AND(BD9&lt;&gt;"00",BD10&lt;&gt;"00"),CONCATENATE(BD9,"-",BE10,"(",BE9,"-",BD10,")"),AND(BD9="00",BD10&lt;&gt;"00"),CONCATENATE(BD10,"-",BE10),AND(BD9&lt;&gt;"00",BD10="00"),CONCATENATE(BD9,"-",BE9))</f>
        <v>;H</v>
      </c>
      <c r="BE11" s="105"/>
      <c r="BF11" s="104" t="str" cm="1">
        <f t="array" ref="BF11">_xlfn.IFS(AND(BF9="00",BF10="00"),";H",AND(BF9&lt;&gt;"00",BF10&lt;&gt;"00"),CONCATENATE(BF9,"-",BG10,"(",BG9,"-",BF10,")"),AND(BF9="00",BF10&lt;&gt;"00"),CONCATENATE(BF10,"-",BG10),AND(BF9&lt;&gt;"00",BF10="00"),CONCATENATE(BF9,"-",BG9))</f>
        <v>;H</v>
      </c>
      <c r="BG11" s="105"/>
      <c r="BH11" s="104" t="str" cm="1">
        <f t="array" ref="BH11">_xlfn.IFS(AND(BH9="00",BH10="00"),";H",AND(BH9&lt;&gt;"00",BH10&lt;&gt;"00"),CONCATENATE(BH9,"-",BI10,"(",BI9,"-",BH10,")"),AND(BH9="00",BH10&lt;&gt;"00"),CONCATENATE(BH10,"-",BI10),AND(BH9&lt;&gt;"00",BH10="00"),CONCATENATE(BH9,"-",BI9))</f>
        <v>;H</v>
      </c>
      <c r="BI11" s="105"/>
      <c r="BJ11" s="104" t="str" cm="1">
        <f t="array" ref="BJ11">_xlfn.IFS(AND(BJ9="00",BJ10="00"),";H",AND(BJ9&lt;&gt;"00",BJ10&lt;&gt;"00"),CONCATENATE(BJ9,"-",BK10,"(",BK9,"-",BJ10,")"),AND(BJ9="00",BJ10&lt;&gt;"00"),CONCATENATE(BJ10,"-",BK10),AND(BJ9&lt;&gt;"00",BJ10="00"),CONCATENATE(BJ9,"-",BK9))</f>
        <v>;H</v>
      </c>
      <c r="BK11" s="105"/>
      <c r="BL11" s="104" t="str" cm="1">
        <f t="array" ref="BL11">_xlfn.IFS(AND(BL9="00",BL10="00"),";H",AND(BL9&lt;&gt;"00",BL10&lt;&gt;"00"),CONCATENATE(BL9,"-",BM10,"(",BM9,"-",BL10,")"),AND(BL9="00",BL10&lt;&gt;"00"),CONCATENATE(BL10,"-",BM10),AND(BL9&lt;&gt;"00",BL10="00"),CONCATENATE(BL9,"-",BM9))</f>
        <v>;H</v>
      </c>
      <c r="BM11" s="105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</row>
    <row r="12" spans="1:81" ht="15" thickBot="1">
      <c r="A12" s="83"/>
      <c r="B12" s="145" t="str">
        <f>整月外場班表!B12</f>
        <v>宋文馨</v>
      </c>
      <c r="C12" s="93"/>
      <c r="D12" s="23" t="str">
        <f>IF(MOD(整月外場班表!D12,1)=0,CONCATENATE(整月外場班表!D12,"00"),CONCATENATE(INT(整月外場班表!D12),"30"))</f>
        <v>00</v>
      </c>
      <c r="E12" s="24" t="str">
        <f>IF(MOD(整月外場班表!E12,1)=0,CONCATENATE(整月外場班表!E12,"00"),CONCATENATE(INT(整月外場班表!E12),"30"))</f>
        <v>00</v>
      </c>
      <c r="F12" s="23" t="str">
        <f>IF(MOD(整月外場班表!F12,1)=0,CONCATENATE(整月外場班表!F12,"00"),CONCATENATE(INT(整月外場班表!F12),"30"))</f>
        <v>00</v>
      </c>
      <c r="G12" s="24" t="str">
        <f>IF(MOD(整月外場班表!G12,1)=0,CONCATENATE(整月外場班表!G12,"00"),CONCATENATE(INT(整月外場班表!G12),"30"))</f>
        <v>00</v>
      </c>
      <c r="H12" s="23" t="str">
        <f>IF(MOD(整月外場班表!H12,1)=0,CONCATENATE(整月外場班表!H12,"00"),CONCATENATE(INT(整月外場班表!H12),"30"))</f>
        <v>00</v>
      </c>
      <c r="I12" s="24" t="str">
        <f>IF(MOD(整月外場班表!I12,1)=0,CONCATENATE(整月外場班表!I12,"00"),CONCATENATE(INT(整月外場班表!I12),"30"))</f>
        <v>00</v>
      </c>
      <c r="J12" s="23" t="str">
        <f>IF(MOD(整月外場班表!J12,1)=0,CONCATENATE(整月外場班表!J12,"00"),CONCATENATE(INT(整月外場班表!J12),"30"))</f>
        <v>00</v>
      </c>
      <c r="K12" s="24" t="str">
        <f>IF(MOD(整月外場班表!K12,1)=0,CONCATENATE(整月外場班表!K12,"00"),CONCATENATE(INT(整月外場班表!K12),"30"))</f>
        <v>00</v>
      </c>
      <c r="L12" s="23" t="str">
        <f>IF(MOD(整月外場班表!L12,1)=0,CONCATENATE(整月外場班表!L12,"00"),CONCATENATE(INT(整月外場班表!L12),"30"))</f>
        <v>00</v>
      </c>
      <c r="M12" s="24" t="str">
        <f>IF(MOD(整月外場班表!M12,1)=0,CONCATENATE(整月外場班表!M12,"00"),CONCATENATE(INT(整月外場班表!M12),"30"))</f>
        <v>00</v>
      </c>
      <c r="N12" s="23" t="str">
        <f>IF(MOD(整月外場班表!N12,1)=0,CONCATENATE(整月外場班表!N12,"00"),CONCATENATE(INT(整月外場班表!N12),"30"))</f>
        <v>00</v>
      </c>
      <c r="O12" s="24" t="str">
        <f>IF(MOD(整月外場班表!O12,1)=0,CONCATENATE(整月外場班表!O12,"00"),CONCATENATE(INT(整月外場班表!O12),"30"))</f>
        <v>00</v>
      </c>
      <c r="P12" s="23" t="str">
        <f>IF(MOD(整月外場班表!P12,1)=0,CONCATENATE(整月外場班表!P12,"00"),CONCATENATE(INT(整月外場班表!P12),"30"))</f>
        <v>00</v>
      </c>
      <c r="Q12" s="24" t="str">
        <f>IF(MOD(整月外場班表!Q12,1)=0,CONCATENATE(整月外場班表!Q12,"00"),CONCATENATE(INT(整月外場班表!Q12),"30"))</f>
        <v>00</v>
      </c>
      <c r="R12" s="23" t="str">
        <f>IF(MOD(整月外場班表!R12,1)=0,CONCATENATE(整月外場班表!R12,"00"),CONCATENATE(INT(整月外場班表!R12),"30"))</f>
        <v>00</v>
      </c>
      <c r="S12" s="24" t="str">
        <f>IF(MOD(整月外場班表!S12,1)=0,CONCATENATE(整月外場班表!S12,"00"),CONCATENATE(INT(整月外場班表!S12),"30"))</f>
        <v>00</v>
      </c>
      <c r="T12" s="23" t="str">
        <f>IF(MOD(整月外場班表!T12,1)=0,CONCATENATE(整月外場班表!T12,"00"),CONCATENATE(INT(整月外場班表!T12),"30"))</f>
        <v>00</v>
      </c>
      <c r="U12" s="24" t="str">
        <f>IF(MOD(整月外場班表!U12,1)=0,CONCATENATE(整月外場班表!U12,"00"),CONCATENATE(INT(整月外場班表!U12),"30"))</f>
        <v>00</v>
      </c>
      <c r="V12" s="23" t="str">
        <f>IF(MOD(整月外場班表!V12,1)=0,CONCATENATE(整月外場班表!V12,"00"),CONCATENATE(INT(整月外場班表!V12),"30"))</f>
        <v>00</v>
      </c>
      <c r="W12" s="24" t="str">
        <f>IF(MOD(整月外場班表!W12,1)=0,CONCATENATE(整月外場班表!W12,"00"),CONCATENATE(INT(整月外場班表!W12),"30"))</f>
        <v>00</v>
      </c>
      <c r="X12" s="23" t="str">
        <f>IF(MOD(整月外場班表!X12,1)=0,CONCATENATE(整月外場班表!X12,"00"),CONCATENATE(INT(整月外場班表!X12),"30"))</f>
        <v>00</v>
      </c>
      <c r="Y12" s="24" t="str">
        <f>IF(MOD(整月外場班表!Y12,1)=0,CONCATENATE(整月外場班表!Y12,"00"),CONCATENATE(INT(整月外場班表!Y12),"30"))</f>
        <v>00</v>
      </c>
      <c r="Z12" s="23" t="str">
        <f>IF(MOD(整月外場班表!Z12,1)=0,CONCATENATE(整月外場班表!Z12,"00"),CONCATENATE(INT(整月外場班表!Z12),"30"))</f>
        <v>00</v>
      </c>
      <c r="AA12" s="24" t="str">
        <f>IF(MOD(整月外場班表!AA12,1)=0,CONCATENATE(整月外場班表!AA12,"00"),CONCATENATE(INT(整月外場班表!AA12),"30"))</f>
        <v>00</v>
      </c>
      <c r="AB12" s="23" t="str">
        <f>IF(MOD(整月外場班表!AB12,1)=0,CONCATENATE(整月外場班表!AB12,"00"),CONCATENATE(INT(整月外場班表!AB12),"30"))</f>
        <v>00</v>
      </c>
      <c r="AC12" s="24" t="str">
        <f>IF(MOD(整月外場班表!AC12,1)=0,CONCATENATE(整月外場班表!AC12,"00"),CONCATENATE(INT(整月外場班表!AC12),"30"))</f>
        <v>00</v>
      </c>
      <c r="AD12" s="23" t="str">
        <f>IF(MOD(整月外場班表!AD12,1)=0,CONCATENATE(整月外場班表!AD12,"00"),CONCATENATE(INT(整月外場班表!AD12),"30"))</f>
        <v>00</v>
      </c>
      <c r="AE12" s="24" t="str">
        <f>IF(MOD(整月外場班表!AE12,1)=0,CONCATENATE(整月外場班表!AE12,"00"),CONCATENATE(INT(整月外場班表!AE12),"30"))</f>
        <v>00</v>
      </c>
      <c r="AF12" s="23" t="str">
        <f>IF(MOD(整月外場班表!AF12,1)=0,CONCATENATE(整月外場班表!AF12,"00"),CONCATENATE(INT(整月外場班表!AF12),"30"))</f>
        <v>00</v>
      </c>
      <c r="AG12" s="24" t="str">
        <f>IF(MOD(整月外場班表!AG12,1)=0,CONCATENATE(整月外場班表!AG12,"00"),CONCATENATE(INT(整月外場班表!AG12),"30"))</f>
        <v>00</v>
      </c>
      <c r="AH12" s="23" t="str">
        <f>IF(MOD(整月外場班表!AH12,1)=0,CONCATENATE(整月外場班表!AH12,"00"),CONCATENATE(INT(整月外場班表!AH12),"30"))</f>
        <v>00</v>
      </c>
      <c r="AI12" s="24" t="str">
        <f>IF(MOD(整月外場班表!AI12,1)=0,CONCATENATE(整月外場班表!AI12,"00"),CONCATENATE(INT(整月外場班表!AI12),"30"))</f>
        <v>00</v>
      </c>
      <c r="AJ12" s="23" t="str">
        <f>IF(MOD(整月外場班表!AJ12,1)=0,CONCATENATE(整月外場班表!AJ12,"00"),CONCATENATE(INT(整月外場班表!AJ12),"30"))</f>
        <v>00</v>
      </c>
      <c r="AK12" s="24" t="str">
        <f>IF(MOD(整月外場班表!AK12,1)=0,CONCATENATE(整月外場班表!AK12,"00"),CONCATENATE(INT(整月外場班表!AK12),"30"))</f>
        <v>00</v>
      </c>
      <c r="AL12" s="23" t="str">
        <f>IF(MOD(整月外場班表!AL12,1)=0,CONCATENATE(整月外場班表!AL12,"00"),CONCATENATE(INT(整月外場班表!AL12),"30"))</f>
        <v>00</v>
      </c>
      <c r="AM12" s="24" t="str">
        <f>IF(MOD(整月外場班表!AM12,1)=0,CONCATENATE(整月外場班表!AM12,"00"),CONCATENATE(INT(整月外場班表!AM12),"30"))</f>
        <v>00</v>
      </c>
      <c r="AN12" s="23" t="str">
        <f>IF(MOD(整月外場班表!AN12,1)=0,CONCATENATE(整月外場班表!AN12,"00"),CONCATENATE(INT(整月外場班表!AN12),"30"))</f>
        <v>00</v>
      </c>
      <c r="AO12" s="24" t="str">
        <f>IF(MOD(整月外場班表!AO12,1)=0,CONCATENATE(整月外場班表!AO12,"00"),CONCATENATE(INT(整月外場班表!AO12),"30"))</f>
        <v>00</v>
      </c>
      <c r="AP12" s="23" t="str">
        <f>IF(MOD(整月外場班表!AP12,1)=0,CONCATENATE(整月外場班表!AP12,"00"),CONCATENATE(INT(整月外場班表!AP12),"30"))</f>
        <v>00</v>
      </c>
      <c r="AQ12" s="24" t="str">
        <f>IF(MOD(整月外場班表!AQ12,1)=0,CONCATENATE(整月外場班表!AQ12,"00"),CONCATENATE(INT(整月外場班表!AQ12),"30"))</f>
        <v>00</v>
      </c>
      <c r="AR12" s="23" t="str">
        <f>IF(MOD(整月外場班表!AR12,1)=0,CONCATENATE(整月外場班表!AR12,"00"),CONCATENATE(INT(整月外場班表!AR12),"30"))</f>
        <v>00</v>
      </c>
      <c r="AS12" s="24" t="str">
        <f>IF(MOD(整月外場班表!AS12,1)=0,CONCATENATE(整月外場班表!AS12,"00"),CONCATENATE(INT(整月外場班表!AS12),"30"))</f>
        <v>00</v>
      </c>
      <c r="AT12" s="23" t="str">
        <f>IF(MOD(整月外場班表!AT12,1)=0,CONCATENATE(整月外場班表!AT12,"00"),CONCATENATE(INT(整月外場班表!AT12),"30"))</f>
        <v>00</v>
      </c>
      <c r="AU12" s="24" t="str">
        <f>IF(MOD(整月外場班表!AU12,1)=0,CONCATENATE(整月外場班表!AU12,"00"),CONCATENATE(INT(整月外場班表!AU12),"30"))</f>
        <v>00</v>
      </c>
      <c r="AV12" s="23" t="str">
        <f>IF(MOD(整月外場班表!AV12,1)=0,CONCATENATE(整月外場班表!AV12,"00"),CONCATENATE(INT(整月外場班表!AV12),"30"))</f>
        <v>00</v>
      </c>
      <c r="AW12" s="24" t="str">
        <f>IF(MOD(整月外場班表!AW12,1)=0,CONCATENATE(整月外場班表!AW12,"00"),CONCATENATE(INT(整月外場班表!AW12),"30"))</f>
        <v>00</v>
      </c>
      <c r="AX12" s="23" t="str">
        <f>IF(MOD(整月外場班表!AX12,1)=0,CONCATENATE(整月外場班表!AX12,"00"),CONCATENATE(INT(整月外場班表!AX12),"30"))</f>
        <v>00</v>
      </c>
      <c r="AY12" s="24" t="str">
        <f>IF(MOD(整月外場班表!AY12,1)=0,CONCATENATE(整月外場班表!AY12,"00"),CONCATENATE(INT(整月外場班表!AY12),"30"))</f>
        <v>00</v>
      </c>
      <c r="AZ12" s="23" t="str">
        <f>IF(MOD(整月外場班表!AZ12,1)=0,CONCATENATE(整月外場班表!AZ12,"00"),CONCATENATE(INT(整月外場班表!AZ12),"30"))</f>
        <v>00</v>
      </c>
      <c r="BA12" s="24" t="str">
        <f>IF(MOD(整月外場班表!BA12,1)=0,CONCATENATE(整月外場班表!BA12,"00"),CONCATENATE(INT(整月外場班表!BA12),"30"))</f>
        <v>00</v>
      </c>
      <c r="BB12" s="23" t="str">
        <f>IF(MOD(整月外場班表!BB12,1)=0,CONCATENATE(整月外場班表!BB12,"00"),CONCATENATE(INT(整月外場班表!BB12),"30"))</f>
        <v>00</v>
      </c>
      <c r="BC12" s="24" t="str">
        <f>IF(MOD(整月外場班表!BC12,1)=0,CONCATENATE(整月外場班表!BC12,"00"),CONCATENATE(INT(整月外場班表!BC12),"30"))</f>
        <v>00</v>
      </c>
      <c r="BD12" s="23" t="str">
        <f>IF(MOD(整月外場班表!BD12,1)=0,CONCATENATE(整月外場班表!BD12,"00"),CONCATENATE(INT(整月外場班表!BD12),"30"))</f>
        <v>00</v>
      </c>
      <c r="BE12" s="24" t="str">
        <f>IF(MOD(整月外場班表!BE12,1)=0,CONCATENATE(整月外場班表!BE12,"00"),CONCATENATE(INT(整月外場班表!BE12),"30"))</f>
        <v>00</v>
      </c>
      <c r="BF12" s="23" t="str">
        <f>IF(MOD(整月外場班表!BF12,1)=0,CONCATENATE(整月外場班表!BF12,"00"),CONCATENATE(INT(整月外場班表!BF12),"30"))</f>
        <v>00</v>
      </c>
      <c r="BG12" s="24" t="str">
        <f>IF(MOD(整月外場班表!BG12,1)=0,CONCATENATE(整月外場班表!BG12,"00"),CONCATENATE(INT(整月外場班表!BG12),"30"))</f>
        <v>00</v>
      </c>
      <c r="BH12" s="23" t="str">
        <f>IF(MOD(整月外場班表!BH12,1)=0,CONCATENATE(整月外場班表!BH12,"00"),CONCATENATE(INT(整月外場班表!BH12),"30"))</f>
        <v>00</v>
      </c>
      <c r="BI12" s="24" t="str">
        <f>IF(MOD(整月外場班表!BI12,1)=0,CONCATENATE(整月外場班表!BI12,"00"),CONCATENATE(INT(整月外場班表!BI12),"30"))</f>
        <v>00</v>
      </c>
      <c r="BJ12" s="23" t="str">
        <f>IF(MOD(整月外場班表!BJ12,1)=0,CONCATENATE(整月外場班表!BJ12,"00"),CONCATENATE(INT(整月外場班表!BJ12),"30"))</f>
        <v>00</v>
      </c>
      <c r="BK12" s="24" t="str">
        <f>IF(MOD(整月外場班表!BK12,1)=0,CONCATENATE(整月外場班表!BK12,"00"),CONCATENATE(INT(整月外場班表!BK12),"30"))</f>
        <v>00</v>
      </c>
      <c r="BL12" s="23" t="str">
        <f>IF(MOD(整月外場班表!BL12,1)=0,CONCATENATE(整月外場班表!BL12,"00"),CONCATENATE(INT(整月外場班表!BL12),"30"))</f>
        <v>00</v>
      </c>
      <c r="BM12" s="24" t="str">
        <f>IF(MOD(整月外場班表!BM12,1)=0,CONCATENATE(整月外場班表!BM12,"00"),CONCATENATE(INT(整月外場班表!BM12),"30"))</f>
        <v>00</v>
      </c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ht="15" thickBot="1">
      <c r="A13" s="84"/>
      <c r="B13" s="86"/>
      <c r="C13" s="94"/>
      <c r="D13" s="25" t="str">
        <f>IF(MOD(整月外場班表!D13,1)=0,CONCATENATE(整月外場班表!D13,"00"),CONCATENATE(INT(整月外場班表!D13),"30"))</f>
        <v>00</v>
      </c>
      <c r="E13" s="26" t="str">
        <f>IF(MOD(整月外場班表!E13,1)=0,CONCATENATE(整月外場班表!E13,"00"),CONCATENATE(INT(整月外場班表!E13),"30"))</f>
        <v>00</v>
      </c>
      <c r="F13" s="25" t="str">
        <f>IF(MOD(整月外場班表!F13,1)=0,CONCATENATE(整月外場班表!F13,"00"),CONCATENATE(INT(整月外場班表!F13),"30"))</f>
        <v>00</v>
      </c>
      <c r="G13" s="26" t="str">
        <f>IF(MOD(整月外場班表!G13,1)=0,CONCATENATE(整月外場班表!G13,"00"),CONCATENATE(INT(整月外場班表!G13),"30"))</f>
        <v>00</v>
      </c>
      <c r="H13" s="25" t="str">
        <f>IF(MOD(整月外場班表!H13,1)=0,CONCATENATE(整月外場班表!H13,"00"),CONCATENATE(INT(整月外場班表!H13),"30"))</f>
        <v>00</v>
      </c>
      <c r="I13" s="26" t="str">
        <f>IF(MOD(整月外場班表!I13,1)=0,CONCATENATE(整月外場班表!I13,"00"),CONCATENATE(INT(整月外場班表!I13),"30"))</f>
        <v>00</v>
      </c>
      <c r="J13" s="25" t="str">
        <f>IF(MOD(整月外場班表!J13,1)=0,CONCATENATE(整月外場班表!J13,"00"),CONCATENATE(INT(整月外場班表!J13),"30"))</f>
        <v>00</v>
      </c>
      <c r="K13" s="26" t="str">
        <f>IF(MOD(整月外場班表!K13,1)=0,CONCATENATE(整月外場班表!K13,"00"),CONCATENATE(INT(整月外場班表!K13),"30"))</f>
        <v>00</v>
      </c>
      <c r="L13" s="25" t="str">
        <f>IF(MOD(整月外場班表!L13,1)=0,CONCATENATE(整月外場班表!L13,"00"),CONCATENATE(INT(整月外場班表!L13),"30"))</f>
        <v>00</v>
      </c>
      <c r="M13" s="26" t="str">
        <f>IF(MOD(整月外場班表!M13,1)=0,CONCATENATE(整月外場班表!M13,"00"),CONCATENATE(INT(整月外場班表!M13),"30"))</f>
        <v>00</v>
      </c>
      <c r="N13" s="25" t="str">
        <f>IF(MOD(整月外場班表!N13,1)=0,CONCATENATE(整月外場班表!N13,"00"),CONCATENATE(INT(整月外場班表!N13),"30"))</f>
        <v>00</v>
      </c>
      <c r="O13" s="26" t="str">
        <f>IF(MOD(整月外場班表!O13,1)=0,CONCATENATE(整月外場班表!O13,"00"),CONCATENATE(INT(整月外場班表!O13),"30"))</f>
        <v>00</v>
      </c>
      <c r="P13" s="25" t="str">
        <f>IF(MOD(整月外場班表!P13,1)=0,CONCATENATE(整月外場班表!P13,"00"),CONCATENATE(INT(整月外場班表!P13),"30"))</f>
        <v>00</v>
      </c>
      <c r="Q13" s="26" t="str">
        <f>IF(MOD(整月外場班表!Q13,1)=0,CONCATENATE(整月外場班表!Q13,"00"),CONCATENATE(INT(整月外場班表!Q13),"30"))</f>
        <v>00</v>
      </c>
      <c r="R13" s="25" t="str">
        <f>IF(MOD(整月外場班表!R13,1)=0,CONCATENATE(整月外場班表!R13,"00"),CONCATENATE(INT(整月外場班表!R13),"30"))</f>
        <v>00</v>
      </c>
      <c r="S13" s="26" t="str">
        <f>IF(MOD(整月外場班表!S13,1)=0,CONCATENATE(整月外場班表!S13,"00"),CONCATENATE(INT(整月外場班表!S13),"30"))</f>
        <v>00</v>
      </c>
      <c r="T13" s="25" t="str">
        <f>IF(MOD(整月外場班表!T13,1)=0,CONCATENATE(整月外場班表!T13,"00"),CONCATENATE(INT(整月外場班表!T13),"30"))</f>
        <v>00</v>
      </c>
      <c r="U13" s="26" t="str">
        <f>IF(MOD(整月外場班表!U13,1)=0,CONCATENATE(整月外場班表!U13,"00"),CONCATENATE(INT(整月外場班表!U13),"30"))</f>
        <v>00</v>
      </c>
      <c r="V13" s="25" t="str">
        <f>IF(MOD(整月外場班表!V13,1)=0,CONCATENATE(整月外場班表!V13,"00"),CONCATENATE(INT(整月外場班表!V13),"30"))</f>
        <v>00</v>
      </c>
      <c r="W13" s="26" t="str">
        <f>IF(MOD(整月外場班表!W13,1)=0,CONCATENATE(整月外場班表!W13,"00"),CONCATENATE(INT(整月外場班表!W13),"30"))</f>
        <v>00</v>
      </c>
      <c r="X13" s="25" t="str">
        <f>IF(MOD(整月外場班表!X13,1)=0,CONCATENATE(整月外場班表!X13,"00"),CONCATENATE(INT(整月外場班表!X13),"30"))</f>
        <v>00</v>
      </c>
      <c r="Y13" s="26" t="str">
        <f>IF(MOD(整月外場班表!Y13,1)=0,CONCATENATE(整月外場班表!Y13,"00"),CONCATENATE(INT(整月外場班表!Y13),"30"))</f>
        <v>00</v>
      </c>
      <c r="Z13" s="25" t="str">
        <f>IF(MOD(整月外場班表!Z13,1)=0,CONCATENATE(整月外場班表!Z13,"00"),CONCATENATE(INT(整月外場班表!Z13),"30"))</f>
        <v>00</v>
      </c>
      <c r="AA13" s="26" t="str">
        <f>IF(MOD(整月外場班表!AA13,1)=0,CONCATENATE(整月外場班表!AA13,"00"),CONCATENATE(INT(整月外場班表!AA13),"30"))</f>
        <v>00</v>
      </c>
      <c r="AB13" s="25" t="str">
        <f>IF(MOD(整月外場班表!AB13,1)=0,CONCATENATE(整月外場班表!AB13,"00"),CONCATENATE(INT(整月外場班表!AB13),"30"))</f>
        <v>00</v>
      </c>
      <c r="AC13" s="26" t="str">
        <f>IF(MOD(整月外場班表!AC13,1)=0,CONCATENATE(整月外場班表!AC13,"00"),CONCATENATE(INT(整月外場班表!AC13),"30"))</f>
        <v>00</v>
      </c>
      <c r="AD13" s="25" t="str">
        <f>IF(MOD(整月外場班表!AD13,1)=0,CONCATENATE(整月外場班表!AD13,"00"),CONCATENATE(INT(整月外場班表!AD13),"30"))</f>
        <v>00</v>
      </c>
      <c r="AE13" s="26" t="str">
        <f>IF(MOD(整月外場班表!AE13,1)=0,CONCATENATE(整月外場班表!AE13,"00"),CONCATENATE(INT(整月外場班表!AE13),"30"))</f>
        <v>00</v>
      </c>
      <c r="AF13" s="25" t="str">
        <f>IF(MOD(整月外場班表!AF13,1)=0,CONCATENATE(整月外場班表!AF13,"00"),CONCATENATE(INT(整月外場班表!AF13),"30"))</f>
        <v>00</v>
      </c>
      <c r="AG13" s="26" t="str">
        <f>IF(MOD(整月外場班表!AG13,1)=0,CONCATENATE(整月外場班表!AG13,"00"),CONCATENATE(INT(整月外場班表!AG13),"30"))</f>
        <v>00</v>
      </c>
      <c r="AH13" s="25" t="str">
        <f>IF(MOD(整月外場班表!AH13,1)=0,CONCATENATE(整月外場班表!AH13,"00"),CONCATENATE(INT(整月外場班表!AH13),"30"))</f>
        <v>00</v>
      </c>
      <c r="AI13" s="26" t="str">
        <f>IF(MOD(整月外場班表!AI13,1)=0,CONCATENATE(整月外場班表!AI13,"00"),CONCATENATE(INT(整月外場班表!AI13),"30"))</f>
        <v>00</v>
      </c>
      <c r="AJ13" s="25" t="str">
        <f>IF(MOD(整月外場班表!AJ13,1)=0,CONCATENATE(整月外場班表!AJ13,"00"),CONCATENATE(INT(整月外場班表!AJ13),"30"))</f>
        <v>00</v>
      </c>
      <c r="AK13" s="26" t="str">
        <f>IF(MOD(整月外場班表!AK13,1)=0,CONCATENATE(整月外場班表!AK13,"00"),CONCATENATE(INT(整月外場班表!AK13),"30"))</f>
        <v>00</v>
      </c>
      <c r="AL13" s="25" t="str">
        <f>IF(MOD(整月外場班表!AL13,1)=0,CONCATENATE(整月外場班表!AL13,"00"),CONCATENATE(INT(整月外場班表!AL13),"30"))</f>
        <v>00</v>
      </c>
      <c r="AM13" s="26" t="str">
        <f>IF(MOD(整月外場班表!AM13,1)=0,CONCATENATE(整月外場班表!AM13,"00"),CONCATENATE(INT(整月外場班表!AM13),"30"))</f>
        <v>00</v>
      </c>
      <c r="AN13" s="25" t="str">
        <f>IF(MOD(整月外場班表!AN13,1)=0,CONCATENATE(整月外場班表!AN13,"00"),CONCATENATE(INT(整月外場班表!AN13),"30"))</f>
        <v>00</v>
      </c>
      <c r="AO13" s="26" t="str">
        <f>IF(MOD(整月外場班表!AO13,1)=0,CONCATENATE(整月外場班表!AO13,"00"),CONCATENATE(INT(整月外場班表!AO13),"30"))</f>
        <v>00</v>
      </c>
      <c r="AP13" s="25" t="str">
        <f>IF(MOD(整月外場班表!AP13,1)=0,CONCATENATE(整月外場班表!AP13,"00"),CONCATENATE(INT(整月外場班表!AP13),"30"))</f>
        <v>00</v>
      </c>
      <c r="AQ13" s="26" t="str">
        <f>IF(MOD(整月外場班表!AQ13,1)=0,CONCATENATE(整月外場班表!AQ13,"00"),CONCATENATE(INT(整月外場班表!AQ13),"30"))</f>
        <v>00</v>
      </c>
      <c r="AR13" s="25" t="str">
        <f>IF(MOD(整月外場班表!AR13,1)=0,CONCATENATE(整月外場班表!AR13,"00"),CONCATENATE(INT(整月外場班表!AR13),"30"))</f>
        <v>00</v>
      </c>
      <c r="AS13" s="26" t="str">
        <f>IF(MOD(整月外場班表!AS13,1)=0,CONCATENATE(整月外場班表!AS13,"00"),CONCATENATE(INT(整月外場班表!AS13),"30"))</f>
        <v>00</v>
      </c>
      <c r="AT13" s="25" t="str">
        <f>IF(MOD(整月外場班表!AT13,1)=0,CONCATENATE(整月外場班表!AT13,"00"),CONCATENATE(INT(整月外場班表!AT13),"30"))</f>
        <v>00</v>
      </c>
      <c r="AU13" s="26" t="str">
        <f>IF(MOD(整月外場班表!AU13,1)=0,CONCATENATE(整月外場班表!AU13,"00"),CONCATENATE(INT(整月外場班表!AU13),"30"))</f>
        <v>00</v>
      </c>
      <c r="AV13" s="25" t="str">
        <f>IF(MOD(整月外場班表!AV13,1)=0,CONCATENATE(整月外場班表!AV13,"00"),CONCATENATE(INT(整月外場班表!AV13),"30"))</f>
        <v>00</v>
      </c>
      <c r="AW13" s="26" t="str">
        <f>IF(MOD(整月外場班表!AW13,1)=0,CONCATENATE(整月外場班表!AW13,"00"),CONCATENATE(INT(整月外場班表!AW13),"30"))</f>
        <v>00</v>
      </c>
      <c r="AX13" s="25" t="str">
        <f>IF(MOD(整月外場班表!AX13,1)=0,CONCATENATE(整月外場班表!AX13,"00"),CONCATENATE(INT(整月外場班表!AX13),"30"))</f>
        <v>00</v>
      </c>
      <c r="AY13" s="26" t="str">
        <f>IF(MOD(整月外場班表!AY13,1)=0,CONCATENATE(整月外場班表!AY13,"00"),CONCATENATE(INT(整月外場班表!AY13),"30"))</f>
        <v>00</v>
      </c>
      <c r="AZ13" s="25" t="str">
        <f>IF(MOD(整月外場班表!AZ13,1)=0,CONCATENATE(整月外場班表!AZ13,"00"),CONCATENATE(INT(整月外場班表!AZ13),"30"))</f>
        <v>00</v>
      </c>
      <c r="BA13" s="26" t="str">
        <f>IF(MOD(整月外場班表!BA13,1)=0,CONCATENATE(整月外場班表!BA13,"00"),CONCATENATE(INT(整月外場班表!BA13),"30"))</f>
        <v>00</v>
      </c>
      <c r="BB13" s="25" t="str">
        <f>IF(MOD(整月外場班表!BB13,1)=0,CONCATENATE(整月外場班表!BB13,"00"),CONCATENATE(INT(整月外場班表!BB13),"30"))</f>
        <v>00</v>
      </c>
      <c r="BC13" s="26" t="str">
        <f>IF(MOD(整月外場班表!BC13,1)=0,CONCATENATE(整月外場班表!BC13,"00"),CONCATENATE(INT(整月外場班表!BC13),"30"))</f>
        <v>00</v>
      </c>
      <c r="BD13" s="25" t="str">
        <f>IF(MOD(整月外場班表!BD13,1)=0,CONCATENATE(整月外場班表!BD13,"00"),CONCATENATE(INT(整月外場班表!BD13),"30"))</f>
        <v>00</v>
      </c>
      <c r="BE13" s="26" t="str">
        <f>IF(MOD(整月外場班表!BE13,1)=0,CONCATENATE(整月外場班表!BE13,"00"),CONCATENATE(INT(整月外場班表!BE13),"30"))</f>
        <v>00</v>
      </c>
      <c r="BF13" s="25" t="str">
        <f>IF(MOD(整月外場班表!BF13,1)=0,CONCATENATE(整月外場班表!BF13,"00"),CONCATENATE(INT(整月外場班表!BF13),"30"))</f>
        <v>00</v>
      </c>
      <c r="BG13" s="26" t="str">
        <f>IF(MOD(整月外場班表!BG13,1)=0,CONCATENATE(整月外場班表!BG13,"00"),CONCATENATE(INT(整月外場班表!BG13),"30"))</f>
        <v>00</v>
      </c>
      <c r="BH13" s="25" t="str">
        <f>IF(MOD(整月外場班表!BH13,1)=0,CONCATENATE(整月外場班表!BH13,"00"),CONCATENATE(INT(整月外場班表!BH13),"30"))</f>
        <v>00</v>
      </c>
      <c r="BI13" s="26" t="str">
        <f>IF(MOD(整月外場班表!BI13,1)=0,CONCATENATE(整月外場班表!BI13,"00"),CONCATENATE(INT(整月外場班表!BI13),"30"))</f>
        <v>00</v>
      </c>
      <c r="BJ13" s="25" t="str">
        <f>IF(MOD(整月外場班表!BJ13,1)=0,CONCATENATE(整月外場班表!BJ13,"00"),CONCATENATE(INT(整月外場班表!BJ13),"30"))</f>
        <v>00</v>
      </c>
      <c r="BK13" s="26" t="str">
        <f>IF(MOD(整月外場班表!BK13,1)=0,CONCATENATE(整月外場班表!BK13,"00"),CONCATENATE(INT(整月外場班表!BK13),"30"))</f>
        <v>00</v>
      </c>
      <c r="BL13" s="25" t="str">
        <f>IF(MOD(整月外場班表!BL13,1)=0,CONCATENATE(整月外場班表!BL13,"00"),CONCATENATE(INT(整月外場班表!BL13),"30"))</f>
        <v>00</v>
      </c>
      <c r="BM13" s="26" t="str">
        <f>IF(MOD(整月外場班表!BM13,1)=0,CONCATENATE(整月外場班表!BM13,"00"),CONCATENATE(INT(整月外場班表!BM13),"30"))</f>
        <v>00</v>
      </c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</row>
    <row r="14" spans="1:81" ht="40" customHeight="1" thickBot="1">
      <c r="A14" s="47"/>
      <c r="B14" s="84"/>
      <c r="C14" s="95"/>
      <c r="D14" s="104" t="str" cm="1">
        <f t="array" ref="D14">_xlfn.IFS(AND(D12="00",D13="00"),";H",AND(D12&lt;&gt;"00",D13&lt;&gt;"00"),CONCATENATE(D12,"-",E13,"(",E12,"-",D13,")"),AND(D12="00",D13&lt;&gt;"00"),CONCATENATE(D13,"-",E13),AND(D12&lt;&gt;"00",D13="00"),CONCATENATE(D12,"-",E12))</f>
        <v>;H</v>
      </c>
      <c r="E14" s="105"/>
      <c r="F14" s="104" t="str" cm="1">
        <f t="array" ref="F14">_xlfn.IFS(AND(F12="00",F13="00"),";H",AND(F12&lt;&gt;"00",F13&lt;&gt;"00"),CONCATENATE(F12,"-",G13,"(",G12,"-",F13,")"),AND(F12="00",F13&lt;&gt;"00"),CONCATENATE(F13,"-",G13),AND(F12&lt;&gt;"00",F13="00"),CONCATENATE(F12,"-",G12))</f>
        <v>;H</v>
      </c>
      <c r="G14" s="105"/>
      <c r="H14" s="104" t="str" cm="1">
        <f t="array" ref="H14">_xlfn.IFS(AND(H12="00",H13="00"),";H",AND(H12&lt;&gt;"00",H13&lt;&gt;"00"),CONCATENATE(H12,"-",I13,"(",I12,"-",H13,")"),AND(H12="00",H13&lt;&gt;"00"),CONCATENATE(H13,"-",I13),AND(H12&lt;&gt;"00",H13="00"),CONCATENATE(H12,"-",I12))</f>
        <v>;H</v>
      </c>
      <c r="I14" s="105"/>
      <c r="J14" s="104" t="str" cm="1">
        <f t="array" ref="J14">_xlfn.IFS(AND(J12="00",J13="00"),";H",AND(J12&lt;&gt;"00",J13&lt;&gt;"00"),CONCATENATE(J12,"-",K13,"(",K12,"-",J13,")"),AND(J12="00",J13&lt;&gt;"00"),CONCATENATE(J13,"-",K13),AND(J12&lt;&gt;"00",J13="00"),CONCATENATE(J12,"-",K12))</f>
        <v>;H</v>
      </c>
      <c r="K14" s="105"/>
      <c r="L14" s="104" t="str" cm="1">
        <f t="array" ref="L14">_xlfn.IFS(AND(L12="00",L13="00"),";H",AND(L12&lt;&gt;"00",L13&lt;&gt;"00"),CONCATENATE(L12,"-",M13,"(",M12,"-",L13,")"),AND(L12="00",L13&lt;&gt;"00"),CONCATENATE(L13,"-",M13),AND(L12&lt;&gt;"00",L13="00"),CONCATENATE(L12,"-",M12))</f>
        <v>;H</v>
      </c>
      <c r="M14" s="105"/>
      <c r="N14" s="104" t="str" cm="1">
        <f t="array" ref="N14">_xlfn.IFS(AND(N12="00",N13="00"),";H",AND(N12&lt;&gt;"00",N13&lt;&gt;"00"),CONCATENATE(N12,"-",O13,"(",O12,"-",N13,")"),AND(N12="00",N13&lt;&gt;"00"),CONCATENATE(N13,"-",O13),AND(N12&lt;&gt;"00",N13="00"),CONCATENATE(N12,"-",O12))</f>
        <v>;H</v>
      </c>
      <c r="O14" s="105"/>
      <c r="P14" s="104" t="str" cm="1">
        <f t="array" ref="P14">_xlfn.IFS(AND(P12="00",P13="00"),";H",AND(P12&lt;&gt;"00",P13&lt;&gt;"00"),CONCATENATE(P12,"-",Q13,"(",Q12,"-",P13,")"),AND(P12="00",P13&lt;&gt;"00"),CONCATENATE(P13,"-",Q13),AND(P12&lt;&gt;"00",P13="00"),CONCATENATE(P12,"-",Q12))</f>
        <v>;H</v>
      </c>
      <c r="Q14" s="105"/>
      <c r="R14" s="104" t="str" cm="1">
        <f t="array" ref="R14">_xlfn.IFS(AND(R12="00",R13="00"),";H",AND(R12&lt;&gt;"00",R13&lt;&gt;"00"),CONCATENATE(R12,"-",S13,"(",S12,"-",R13,")"),AND(R12="00",R13&lt;&gt;"00"),CONCATENATE(R13,"-",S13),AND(R12&lt;&gt;"00",R13="00"),CONCATENATE(R12,"-",S12))</f>
        <v>;H</v>
      </c>
      <c r="S14" s="105"/>
      <c r="T14" s="104" t="str" cm="1">
        <f t="array" ref="T14">_xlfn.IFS(AND(T12="00",T13="00"),";H",AND(T12&lt;&gt;"00",T13&lt;&gt;"00"),CONCATENATE(T12,"-",U13,"(",U12,"-",T13,")"),AND(T12="00",T13&lt;&gt;"00"),CONCATENATE(T13,"-",U13),AND(T12&lt;&gt;"00",T13="00"),CONCATENATE(T12,"-",U12))</f>
        <v>;H</v>
      </c>
      <c r="U14" s="105"/>
      <c r="V14" s="104" t="str" cm="1">
        <f t="array" ref="V14">_xlfn.IFS(AND(V12="00",V13="00"),";H",AND(V12&lt;&gt;"00",V13&lt;&gt;"00"),CONCATENATE(V12,"-",W13,"(",W12,"-",V13,")"),AND(V12="00",V13&lt;&gt;"00"),CONCATENATE(V13,"-",W13),AND(V12&lt;&gt;"00",V13="00"),CONCATENATE(V12,"-",W12))</f>
        <v>;H</v>
      </c>
      <c r="W14" s="105"/>
      <c r="X14" s="104" t="str" cm="1">
        <f t="array" ref="X14">_xlfn.IFS(AND(X12="00",X13="00"),";H",AND(X12&lt;&gt;"00",X13&lt;&gt;"00"),CONCATENATE(X12,"-",Y13,"(",Y12,"-",X13,")"),AND(X12="00",X13&lt;&gt;"00"),CONCATENATE(X13,"-",Y13),AND(X12&lt;&gt;"00",X13="00"),CONCATENATE(X12,"-",Y12))</f>
        <v>;H</v>
      </c>
      <c r="Y14" s="105"/>
      <c r="Z14" s="104" t="str" cm="1">
        <f t="array" ref="Z14">_xlfn.IFS(AND(Z12="00",Z13="00"),";H",AND(Z12&lt;&gt;"00",Z13&lt;&gt;"00"),CONCATENATE(Z12,"-",AA13,"(",AA12,"-",Z13,")"),AND(Z12="00",Z13&lt;&gt;"00"),CONCATENATE(Z13,"-",AA13),AND(Z12&lt;&gt;"00",Z13="00"),CONCATENATE(Z12,"-",AA12))</f>
        <v>;H</v>
      </c>
      <c r="AA14" s="105"/>
      <c r="AB14" s="104" t="str" cm="1">
        <f t="array" ref="AB14">_xlfn.IFS(AND(AB12="00",AB13="00"),";H",AND(AB12&lt;&gt;"00",AB13&lt;&gt;"00"),CONCATENATE(AB12,"-",AC13,"(",AC12,"-",AB13,")"),AND(AB12="00",AB13&lt;&gt;"00"),CONCATENATE(AB13,"-",AC13),AND(AB12&lt;&gt;"00",AB13="00"),CONCATENATE(AB12,"-",AC12))</f>
        <v>;H</v>
      </c>
      <c r="AC14" s="105"/>
      <c r="AD14" s="104" t="str" cm="1">
        <f t="array" ref="AD14">_xlfn.IFS(AND(AD12="00",AD13="00"),";H",AND(AD12&lt;&gt;"00",AD13&lt;&gt;"00"),CONCATENATE(AD12,"-",AE13,"(",AE12,"-",AD13,")"),AND(AD12="00",AD13&lt;&gt;"00"),CONCATENATE(AD13,"-",AE13),AND(AD12&lt;&gt;"00",AD13="00"),CONCATENATE(AD12,"-",AE12))</f>
        <v>;H</v>
      </c>
      <c r="AE14" s="105"/>
      <c r="AF14" s="104" t="str" cm="1">
        <f t="array" ref="AF14">_xlfn.IFS(AND(AF12="00",AF13="00"),";H",AND(AF12&lt;&gt;"00",AF13&lt;&gt;"00"),CONCATENATE(AF12,"-",AG13,"(",AG12,"-",AF13,")"),AND(AF12="00",AF13&lt;&gt;"00"),CONCATENATE(AF13,"-",AG13),AND(AF12&lt;&gt;"00",AF13="00"),CONCATENATE(AF12,"-",AG12))</f>
        <v>;H</v>
      </c>
      <c r="AG14" s="105"/>
      <c r="AH14" s="104" t="str" cm="1">
        <f t="array" ref="AH14">_xlfn.IFS(AND(AH12="00",AH13="00"),";H",AND(AH12&lt;&gt;"00",AH13&lt;&gt;"00"),CONCATENATE(AH12,"-",AI13,"(",AI12,"-",AH13,")"),AND(AH12="00",AH13&lt;&gt;"00"),CONCATENATE(AH13,"-",AI13),AND(AH12&lt;&gt;"00",AH13="00"),CONCATENATE(AH12,"-",AI12))</f>
        <v>;H</v>
      </c>
      <c r="AI14" s="105"/>
      <c r="AJ14" s="104" t="str" cm="1">
        <f t="array" ref="AJ14">_xlfn.IFS(AND(AJ12="00",AJ13="00"),";H",AND(AJ12&lt;&gt;"00",AJ13&lt;&gt;"00"),CONCATENATE(AJ12,"-",AK13,"(",AK12,"-",AJ13,")"),AND(AJ12="00",AJ13&lt;&gt;"00"),CONCATENATE(AJ13,"-",AK13),AND(AJ12&lt;&gt;"00",AJ13="00"),CONCATENATE(AJ12,"-",AK12))</f>
        <v>;H</v>
      </c>
      <c r="AK14" s="105"/>
      <c r="AL14" s="104" t="str" cm="1">
        <f t="array" ref="AL14">_xlfn.IFS(AND(AL12="00",AL13="00"),";H",AND(AL12&lt;&gt;"00",AL13&lt;&gt;"00"),CONCATENATE(AL12,"-",AM13,"(",AM12,"-",AL13,")"),AND(AL12="00",AL13&lt;&gt;"00"),CONCATENATE(AL13,"-",AM13),AND(AL12&lt;&gt;"00",AL13="00"),CONCATENATE(AL12,"-",AM12))</f>
        <v>;H</v>
      </c>
      <c r="AM14" s="105"/>
      <c r="AN14" s="104" t="str" cm="1">
        <f t="array" ref="AN14">_xlfn.IFS(AND(AN12="00",AN13="00"),";H",AND(AN12&lt;&gt;"00",AN13&lt;&gt;"00"),CONCATENATE(AN12,"-",AO13,"(",AO12,"-",AN13,")"),AND(AN12="00",AN13&lt;&gt;"00"),CONCATENATE(AN13,"-",AO13),AND(AN12&lt;&gt;"00",AN13="00"),CONCATENATE(AN12,"-",AO12))</f>
        <v>;H</v>
      </c>
      <c r="AO14" s="105"/>
      <c r="AP14" s="104" t="str" cm="1">
        <f t="array" ref="AP14">_xlfn.IFS(AND(AP12="00",AP13="00"),";H",AND(AP12&lt;&gt;"00",AP13&lt;&gt;"00"),CONCATENATE(AP12,"-",AQ13,"(",AQ12,"-",AP13,")"),AND(AP12="00",AP13&lt;&gt;"00"),CONCATENATE(AP13,"-",AQ13),AND(AP12&lt;&gt;"00",AP13="00"),CONCATENATE(AP12,"-",AQ12))</f>
        <v>;H</v>
      </c>
      <c r="AQ14" s="105"/>
      <c r="AR14" s="104" t="str" cm="1">
        <f t="array" ref="AR14">_xlfn.IFS(AND(AR12="00",AR13="00"),";H",AND(AR12&lt;&gt;"00",AR13&lt;&gt;"00"),CONCATENATE(AR12,"-",AS13,"(",AS12,"-",AR13,")"),AND(AR12="00",AR13&lt;&gt;"00"),CONCATENATE(AR13,"-",AS13),AND(AR12&lt;&gt;"00",AR13="00"),CONCATENATE(AR12,"-",AS12))</f>
        <v>;H</v>
      </c>
      <c r="AS14" s="105"/>
      <c r="AT14" s="104" t="str" cm="1">
        <f t="array" ref="AT14">_xlfn.IFS(AND(AT12="00",AT13="00"),";H",AND(AT12&lt;&gt;"00",AT13&lt;&gt;"00"),CONCATENATE(AT12,"-",AU13,"(",AU12,"-",AT13,")"),AND(AT12="00",AT13&lt;&gt;"00"),CONCATENATE(AT13,"-",AU13),AND(AT12&lt;&gt;"00",AT13="00"),CONCATENATE(AT12,"-",AU12))</f>
        <v>;H</v>
      </c>
      <c r="AU14" s="105"/>
      <c r="AV14" s="104" t="str" cm="1">
        <f t="array" ref="AV14">_xlfn.IFS(AND(AV12="00",AV13="00"),";H",AND(AV12&lt;&gt;"00",AV13&lt;&gt;"00"),CONCATENATE(AV12,"-",AW13,"(",AW12,"-",AV13,")"),AND(AV12="00",AV13&lt;&gt;"00"),CONCATENATE(AV13,"-",AW13),AND(AV12&lt;&gt;"00",AV13="00"),CONCATENATE(AV12,"-",AW12))</f>
        <v>;H</v>
      </c>
      <c r="AW14" s="105"/>
      <c r="AX14" s="104" t="str" cm="1">
        <f t="array" ref="AX14">_xlfn.IFS(AND(AX12="00",AX13="00"),";H",AND(AX12&lt;&gt;"00",AX13&lt;&gt;"00"),CONCATENATE(AX12,"-",AY13,"(",AY12,"-",AX13,")"),AND(AX12="00",AX13&lt;&gt;"00"),CONCATENATE(AX13,"-",AY13),AND(AX12&lt;&gt;"00",AX13="00"),CONCATENATE(AX12,"-",AY12))</f>
        <v>;H</v>
      </c>
      <c r="AY14" s="105"/>
      <c r="AZ14" s="104" t="str" cm="1">
        <f t="array" ref="AZ14">_xlfn.IFS(AND(AZ12="00",AZ13="00"),";H",AND(AZ12&lt;&gt;"00",AZ13&lt;&gt;"00"),CONCATENATE(AZ12,"-",BA13,"(",BA12,"-",AZ13,")"),AND(AZ12="00",AZ13&lt;&gt;"00"),CONCATENATE(AZ13,"-",BA13),AND(AZ12&lt;&gt;"00",AZ13="00"),CONCATENATE(AZ12,"-",BA12))</f>
        <v>;H</v>
      </c>
      <c r="BA14" s="105"/>
      <c r="BB14" s="104" t="str" cm="1">
        <f t="array" ref="BB14">_xlfn.IFS(AND(BB12="00",BB13="00"),";H",AND(BB12&lt;&gt;"00",BB13&lt;&gt;"00"),CONCATENATE(BB12,"-",BC13,"(",BC12,"-",BB13,")"),AND(BB12="00",BB13&lt;&gt;"00"),CONCATENATE(BB13,"-",BC13),AND(BB12&lt;&gt;"00",BB13="00"),CONCATENATE(BB12,"-",BC12))</f>
        <v>;H</v>
      </c>
      <c r="BC14" s="105"/>
      <c r="BD14" s="104" t="str" cm="1">
        <f t="array" ref="BD14">_xlfn.IFS(AND(BD12="00",BD13="00"),";H",AND(BD12&lt;&gt;"00",BD13&lt;&gt;"00"),CONCATENATE(BD12,"-",BE13,"(",BE12,"-",BD13,")"),AND(BD12="00",BD13&lt;&gt;"00"),CONCATENATE(BD13,"-",BE13),AND(BD12&lt;&gt;"00",BD13="00"),CONCATENATE(BD12,"-",BE12))</f>
        <v>;H</v>
      </c>
      <c r="BE14" s="105"/>
      <c r="BF14" s="104" t="str" cm="1">
        <f t="array" ref="BF14">_xlfn.IFS(AND(BF12="00",BF13="00"),";H",AND(BF12&lt;&gt;"00",BF13&lt;&gt;"00"),CONCATENATE(BF12,"-",BG13,"(",BG12,"-",BF13,")"),AND(BF12="00",BF13&lt;&gt;"00"),CONCATENATE(BF13,"-",BG13),AND(BF12&lt;&gt;"00",BF13="00"),CONCATENATE(BF12,"-",BG12))</f>
        <v>;H</v>
      </c>
      <c r="BG14" s="105"/>
      <c r="BH14" s="104" t="str" cm="1">
        <f t="array" ref="BH14">_xlfn.IFS(AND(BH12="00",BH13="00"),";H",AND(BH12&lt;&gt;"00",BH13&lt;&gt;"00"),CONCATENATE(BH12,"-",BI13,"(",BI12,"-",BH13,")"),AND(BH12="00",BH13&lt;&gt;"00"),CONCATENATE(BH13,"-",BI13),AND(BH12&lt;&gt;"00",BH13="00"),CONCATENATE(BH12,"-",BI12))</f>
        <v>;H</v>
      </c>
      <c r="BI14" s="105"/>
      <c r="BJ14" s="104" t="str" cm="1">
        <f t="array" ref="BJ14">_xlfn.IFS(AND(BJ12="00",BJ13="00"),";H",AND(BJ12&lt;&gt;"00",BJ13&lt;&gt;"00"),CONCATENATE(BJ12,"-",BK13,"(",BK12,"-",BJ13,")"),AND(BJ12="00",BJ13&lt;&gt;"00"),CONCATENATE(BJ13,"-",BK13),AND(BJ12&lt;&gt;"00",BJ13="00"),CONCATENATE(BJ12,"-",BK12))</f>
        <v>;H</v>
      </c>
      <c r="BK14" s="105"/>
      <c r="BL14" s="104" t="str" cm="1">
        <f t="array" ref="BL14">_xlfn.IFS(AND(BL12="00",BL13="00"),";H",AND(BL12&lt;&gt;"00",BL13&lt;&gt;"00"),CONCATENATE(BL12,"-",BM13,"(",BM12,"-",BL13,")"),AND(BL12="00",BL13&lt;&gt;"00"),CONCATENATE(BL13,"-",BM13),AND(BL12&lt;&gt;"00",BL13="00"),CONCATENATE(BL12,"-",BM12))</f>
        <v>;H</v>
      </c>
      <c r="BM14" s="105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ht="15" thickBot="1">
      <c r="A15" s="83"/>
      <c r="B15" s="145" t="str">
        <f>整月外場班表!B15</f>
        <v>程楚茜</v>
      </c>
      <c r="C15" s="93"/>
      <c r="D15" s="23" t="str">
        <f>IF(MOD(整月外場班表!D15,1)=0,CONCATENATE(整月外場班表!D15,"00"),CONCATENATE(INT(整月外場班表!D15),"30"))</f>
        <v>00</v>
      </c>
      <c r="E15" s="24" t="str">
        <f>IF(MOD(整月外場班表!E15,1)=0,CONCATENATE(整月外場班表!E15,"00"),CONCATENATE(INT(整月外場班表!E15),"30"))</f>
        <v>00</v>
      </c>
      <c r="F15" s="23" t="str">
        <f>IF(MOD(整月外場班表!F15,1)=0,CONCATENATE(整月外場班表!F15,"00"),CONCATENATE(INT(整月外場班表!F15),"30"))</f>
        <v>00</v>
      </c>
      <c r="G15" s="24" t="str">
        <f>IF(MOD(整月外場班表!G15,1)=0,CONCATENATE(整月外場班表!G15,"00"),CONCATENATE(INT(整月外場班表!G15),"30"))</f>
        <v>00</v>
      </c>
      <c r="H15" s="23" t="str">
        <f>IF(MOD(整月外場班表!H15,1)=0,CONCATENATE(整月外場班表!H15,"00"),CONCATENATE(INT(整月外場班表!H15),"30"))</f>
        <v>00</v>
      </c>
      <c r="I15" s="24" t="str">
        <f>IF(MOD(整月外場班表!I15,1)=0,CONCATENATE(整月外場班表!I15,"00"),CONCATENATE(INT(整月外場班表!I15),"30"))</f>
        <v>00</v>
      </c>
      <c r="J15" s="23" t="str">
        <f>IF(MOD(整月外場班表!J15,1)=0,CONCATENATE(整月外場班表!J15,"00"),CONCATENATE(INT(整月外場班表!J15),"30"))</f>
        <v>00</v>
      </c>
      <c r="K15" s="24" t="str">
        <f>IF(MOD(整月外場班表!K15,1)=0,CONCATENATE(整月外場班表!K15,"00"),CONCATENATE(INT(整月外場班表!K15),"30"))</f>
        <v>00</v>
      </c>
      <c r="L15" s="23" t="str">
        <f>IF(MOD(整月外場班表!L15,1)=0,CONCATENATE(整月外場班表!L15,"00"),CONCATENATE(INT(整月外場班表!L15),"30"))</f>
        <v>00</v>
      </c>
      <c r="M15" s="24" t="str">
        <f>IF(MOD(整月外場班表!M15,1)=0,CONCATENATE(整月外場班表!M15,"00"),CONCATENATE(INT(整月外場班表!M15),"30"))</f>
        <v>00</v>
      </c>
      <c r="N15" s="23" t="str">
        <f>IF(MOD(整月外場班表!N15,1)=0,CONCATENATE(整月外場班表!N15,"00"),CONCATENATE(INT(整月外場班表!N15),"30"))</f>
        <v>00</v>
      </c>
      <c r="O15" s="24" t="str">
        <f>IF(MOD(整月外場班表!O15,1)=0,CONCATENATE(整月外場班表!O15,"00"),CONCATENATE(INT(整月外場班表!O15),"30"))</f>
        <v>00</v>
      </c>
      <c r="P15" s="23" t="str">
        <f>IF(MOD(整月外場班表!P15,1)=0,CONCATENATE(整月外場班表!P15,"00"),CONCATENATE(INT(整月外場班表!P15),"30"))</f>
        <v>00</v>
      </c>
      <c r="Q15" s="24" t="str">
        <f>IF(MOD(整月外場班表!Q15,1)=0,CONCATENATE(整月外場班表!Q15,"00"),CONCATENATE(INT(整月外場班表!Q15),"30"))</f>
        <v>00</v>
      </c>
      <c r="R15" s="23" t="str">
        <f>IF(MOD(整月外場班表!R15,1)=0,CONCATENATE(整月外場班表!R15,"00"),CONCATENATE(INT(整月外場班表!R15),"30"))</f>
        <v>00</v>
      </c>
      <c r="S15" s="24" t="str">
        <f>IF(MOD(整月外場班表!S15,1)=0,CONCATENATE(整月外場班表!S15,"00"),CONCATENATE(INT(整月外場班表!S15),"30"))</f>
        <v>00</v>
      </c>
      <c r="T15" s="23" t="str">
        <f>IF(MOD(整月外場班表!T15,1)=0,CONCATENATE(整月外場班表!T15,"00"),CONCATENATE(INT(整月外場班表!T15),"30"))</f>
        <v>00</v>
      </c>
      <c r="U15" s="24" t="str">
        <f>IF(MOD(整月外場班表!U15,1)=0,CONCATENATE(整月外場班表!U15,"00"),CONCATENATE(INT(整月外場班表!U15),"30"))</f>
        <v>00</v>
      </c>
      <c r="V15" s="23" t="str">
        <f>IF(MOD(整月外場班表!V15,1)=0,CONCATENATE(整月外場班表!V15,"00"),CONCATENATE(INT(整月外場班表!V15),"30"))</f>
        <v>00</v>
      </c>
      <c r="W15" s="24" t="str">
        <f>IF(MOD(整月外場班表!W15,1)=0,CONCATENATE(整月外場班表!W15,"00"),CONCATENATE(INT(整月外場班表!W15),"30"))</f>
        <v>00</v>
      </c>
      <c r="X15" s="23" t="str">
        <f>IF(MOD(整月外場班表!X15,1)=0,CONCATENATE(整月外場班表!X15,"00"),CONCATENATE(INT(整月外場班表!X15),"30"))</f>
        <v>00</v>
      </c>
      <c r="Y15" s="24" t="str">
        <f>IF(MOD(整月外場班表!Y15,1)=0,CONCATENATE(整月外場班表!Y15,"00"),CONCATENATE(INT(整月外場班表!Y15),"30"))</f>
        <v>00</v>
      </c>
      <c r="Z15" s="23" t="str">
        <f>IF(MOD(整月外場班表!Z15,1)=0,CONCATENATE(整月外場班表!Z15,"00"),CONCATENATE(INT(整月外場班表!Z15),"30"))</f>
        <v>00</v>
      </c>
      <c r="AA15" s="24" t="str">
        <f>IF(MOD(整月外場班表!AA15,1)=0,CONCATENATE(整月外場班表!AA15,"00"),CONCATENATE(INT(整月外場班表!AA15),"30"))</f>
        <v>00</v>
      </c>
      <c r="AB15" s="23" t="str">
        <f>IF(MOD(整月外場班表!AB15,1)=0,CONCATENATE(整月外場班表!AB15,"00"),CONCATENATE(INT(整月外場班表!AB15),"30"))</f>
        <v>00</v>
      </c>
      <c r="AC15" s="24" t="str">
        <f>IF(MOD(整月外場班表!AC15,1)=0,CONCATENATE(整月外場班表!AC15,"00"),CONCATENATE(INT(整月外場班表!AC15),"30"))</f>
        <v>00</v>
      </c>
      <c r="AD15" s="23" t="str">
        <f>IF(MOD(整月外場班表!AD15,1)=0,CONCATENATE(整月外場班表!AD15,"00"),CONCATENATE(INT(整月外場班表!AD15),"30"))</f>
        <v>00</v>
      </c>
      <c r="AE15" s="24" t="str">
        <f>IF(MOD(整月外場班表!AE15,1)=0,CONCATENATE(整月外場班表!AE15,"00"),CONCATENATE(INT(整月外場班表!AE15),"30"))</f>
        <v>00</v>
      </c>
      <c r="AF15" s="23" t="str">
        <f>IF(MOD(整月外場班表!AF15,1)=0,CONCATENATE(整月外場班表!AF15,"00"),CONCATENATE(INT(整月外場班表!AF15),"30"))</f>
        <v>00</v>
      </c>
      <c r="AG15" s="24" t="str">
        <f>IF(MOD(整月外場班表!AG15,1)=0,CONCATENATE(整月外場班表!AG15,"00"),CONCATENATE(INT(整月外場班表!AG15),"30"))</f>
        <v>00</v>
      </c>
      <c r="AH15" s="23" t="str">
        <f>IF(MOD(整月外場班表!AH15,1)=0,CONCATENATE(整月外場班表!AH15,"00"),CONCATENATE(INT(整月外場班表!AH15),"30"))</f>
        <v>00</v>
      </c>
      <c r="AI15" s="24" t="str">
        <f>IF(MOD(整月外場班表!AI15,1)=0,CONCATENATE(整月外場班表!AI15,"00"),CONCATENATE(INT(整月外場班表!AI15),"30"))</f>
        <v>00</v>
      </c>
      <c r="AJ15" s="23" t="str">
        <f>IF(MOD(整月外場班表!AJ15,1)=0,CONCATENATE(整月外場班表!AJ15,"00"),CONCATENATE(INT(整月外場班表!AJ15),"30"))</f>
        <v>00</v>
      </c>
      <c r="AK15" s="24" t="str">
        <f>IF(MOD(整月外場班表!AK15,1)=0,CONCATENATE(整月外場班表!AK15,"00"),CONCATENATE(INT(整月外場班表!AK15),"30"))</f>
        <v>00</v>
      </c>
      <c r="AL15" s="23" t="str">
        <f>IF(MOD(整月外場班表!AL15,1)=0,CONCATENATE(整月外場班表!AL15,"00"),CONCATENATE(INT(整月外場班表!AL15),"30"))</f>
        <v>00</v>
      </c>
      <c r="AM15" s="24" t="str">
        <f>IF(MOD(整月外場班表!AM15,1)=0,CONCATENATE(整月外場班表!AM15,"00"),CONCATENATE(INT(整月外場班表!AM15),"30"))</f>
        <v>00</v>
      </c>
      <c r="AN15" s="23" t="str">
        <f>IF(MOD(整月外場班表!AN15,1)=0,CONCATENATE(整月外場班表!AN15,"00"),CONCATENATE(INT(整月外場班表!AN15),"30"))</f>
        <v>00</v>
      </c>
      <c r="AO15" s="24" t="str">
        <f>IF(MOD(整月外場班表!AO15,1)=0,CONCATENATE(整月外場班表!AO15,"00"),CONCATENATE(INT(整月外場班表!AO15),"30"))</f>
        <v>00</v>
      </c>
      <c r="AP15" s="23" t="str">
        <f>IF(MOD(整月外場班表!AP15,1)=0,CONCATENATE(整月外場班表!AP15,"00"),CONCATENATE(INT(整月外場班表!AP15),"30"))</f>
        <v>00</v>
      </c>
      <c r="AQ15" s="24" t="str">
        <f>IF(MOD(整月外場班表!AQ15,1)=0,CONCATENATE(整月外場班表!AQ15,"00"),CONCATENATE(INT(整月外場班表!AQ15),"30"))</f>
        <v>00</v>
      </c>
      <c r="AR15" s="23" t="str">
        <f>IF(MOD(整月外場班表!AR15,1)=0,CONCATENATE(整月外場班表!AR15,"00"),CONCATENATE(INT(整月外場班表!AR15),"30"))</f>
        <v>00</v>
      </c>
      <c r="AS15" s="24" t="str">
        <f>IF(MOD(整月外場班表!AS15,1)=0,CONCATENATE(整月外場班表!AS15,"00"),CONCATENATE(INT(整月外場班表!AS15),"30"))</f>
        <v>00</v>
      </c>
      <c r="AT15" s="23" t="str">
        <f>IF(MOD(整月外場班表!AT15,1)=0,CONCATENATE(整月外場班表!AT15,"00"),CONCATENATE(INT(整月外場班表!AT15),"30"))</f>
        <v>00</v>
      </c>
      <c r="AU15" s="24" t="str">
        <f>IF(MOD(整月外場班表!AU15,1)=0,CONCATENATE(整月外場班表!AU15,"00"),CONCATENATE(INT(整月外場班表!AU15),"30"))</f>
        <v>00</v>
      </c>
      <c r="AV15" s="23" t="str">
        <f>IF(MOD(整月外場班表!AV15,1)=0,CONCATENATE(整月外場班表!AV15,"00"),CONCATENATE(INT(整月外場班表!AV15),"30"))</f>
        <v>00</v>
      </c>
      <c r="AW15" s="24" t="str">
        <f>IF(MOD(整月外場班表!AW15,1)=0,CONCATENATE(整月外場班表!AW15,"00"),CONCATENATE(INT(整月外場班表!AW15),"30"))</f>
        <v>00</v>
      </c>
      <c r="AX15" s="23" t="str">
        <f>IF(MOD(整月外場班表!AX15,1)=0,CONCATENATE(整月外場班表!AX15,"00"),CONCATENATE(INT(整月外場班表!AX15),"30"))</f>
        <v>00</v>
      </c>
      <c r="AY15" s="24" t="str">
        <f>IF(MOD(整月外場班表!AY15,1)=0,CONCATENATE(整月外場班表!AY15,"00"),CONCATENATE(INT(整月外場班表!AY15),"30"))</f>
        <v>00</v>
      </c>
      <c r="AZ15" s="23" t="str">
        <f>IF(MOD(整月外場班表!AZ15,1)=0,CONCATENATE(整月外場班表!AZ15,"00"),CONCATENATE(INT(整月外場班表!AZ15),"30"))</f>
        <v>00</v>
      </c>
      <c r="BA15" s="24" t="str">
        <f>IF(MOD(整月外場班表!BA15,1)=0,CONCATENATE(整月外場班表!BA15,"00"),CONCATENATE(INT(整月外場班表!BA15),"30"))</f>
        <v>00</v>
      </c>
      <c r="BB15" s="23" t="str">
        <f>IF(MOD(整月外場班表!BB15,1)=0,CONCATENATE(整月外場班表!BB15,"00"),CONCATENATE(INT(整月外場班表!BB15),"30"))</f>
        <v>00</v>
      </c>
      <c r="BC15" s="24" t="str">
        <f>IF(MOD(整月外場班表!BC15,1)=0,CONCATENATE(整月外場班表!BC15,"00"),CONCATENATE(INT(整月外場班表!BC15),"30"))</f>
        <v>00</v>
      </c>
      <c r="BD15" s="23" t="str">
        <f>IF(MOD(整月外場班表!BD15,1)=0,CONCATENATE(整月外場班表!BD15,"00"),CONCATENATE(INT(整月外場班表!BD15),"30"))</f>
        <v>00</v>
      </c>
      <c r="BE15" s="24" t="str">
        <f>IF(MOD(整月外場班表!BE15,1)=0,CONCATENATE(整月外場班表!BE15,"00"),CONCATENATE(INT(整月外場班表!BE15),"30"))</f>
        <v>00</v>
      </c>
      <c r="BF15" s="23" t="str">
        <f>IF(MOD(整月外場班表!BF15,1)=0,CONCATENATE(整月外場班表!BF15,"00"),CONCATENATE(INT(整月外場班表!BF15),"30"))</f>
        <v>00</v>
      </c>
      <c r="BG15" s="24" t="str">
        <f>IF(MOD(整月外場班表!BG15,1)=0,CONCATENATE(整月外場班表!BG15,"00"),CONCATENATE(INT(整月外場班表!BG15),"30"))</f>
        <v>00</v>
      </c>
      <c r="BH15" s="23" t="str">
        <f>IF(MOD(整月外場班表!BH15,1)=0,CONCATENATE(整月外場班表!BH15,"00"),CONCATENATE(INT(整月外場班表!BH15),"30"))</f>
        <v>00</v>
      </c>
      <c r="BI15" s="24" t="str">
        <f>IF(MOD(整月外場班表!BI15,1)=0,CONCATENATE(整月外場班表!BI15,"00"),CONCATENATE(INT(整月外場班表!BI15),"30"))</f>
        <v>00</v>
      </c>
      <c r="BJ15" s="23" t="str">
        <f>IF(MOD(整月外場班表!BJ15,1)=0,CONCATENATE(整月外場班表!BJ15,"00"),CONCATENATE(INT(整月外場班表!BJ15),"30"))</f>
        <v>00</v>
      </c>
      <c r="BK15" s="24" t="str">
        <f>IF(MOD(整月外場班表!BK15,1)=0,CONCATENATE(整月外場班表!BK15,"00"),CONCATENATE(INT(整月外場班表!BK15),"30"))</f>
        <v>00</v>
      </c>
      <c r="BL15" s="23" t="str">
        <f>IF(MOD(整月外場班表!BL15,1)=0,CONCATENATE(整月外場班表!BL15,"00"),CONCATENATE(INT(整月外場班表!BL15),"30"))</f>
        <v>00</v>
      </c>
      <c r="BM15" s="24" t="str">
        <f>IF(MOD(整月外場班表!BM15,1)=0,CONCATENATE(整月外場班表!BM15,"00"),CONCATENATE(INT(整月外場班表!BM15),"30"))</f>
        <v>00</v>
      </c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ht="15" thickBot="1">
      <c r="A16" s="84"/>
      <c r="B16" s="86"/>
      <c r="C16" s="94"/>
      <c r="D16" s="25" t="str">
        <f>IF(MOD(整月外場班表!D16,1)=0,CONCATENATE(整月外場班表!D16,"00"),CONCATENATE(INT(整月外場班表!D16),"30"))</f>
        <v>00</v>
      </c>
      <c r="E16" s="26" t="str">
        <f>IF(MOD(整月外場班表!E16,1)=0,CONCATENATE(整月外場班表!E16,"00"),CONCATENATE(INT(整月外場班表!E16),"30"))</f>
        <v>00</v>
      </c>
      <c r="F16" s="25" t="str">
        <f>IF(MOD(整月外場班表!F16,1)=0,CONCATENATE(整月外場班表!F16,"00"),CONCATENATE(INT(整月外場班表!F16),"30"))</f>
        <v>00</v>
      </c>
      <c r="G16" s="26" t="str">
        <f>IF(MOD(整月外場班表!G16,1)=0,CONCATENATE(整月外場班表!G16,"00"),CONCATENATE(INT(整月外場班表!G16),"30"))</f>
        <v>00</v>
      </c>
      <c r="H16" s="25" t="str">
        <f>IF(MOD(整月外場班表!H16,1)=0,CONCATENATE(整月外場班表!H16,"00"),CONCATENATE(INT(整月外場班表!H16),"30"))</f>
        <v>00</v>
      </c>
      <c r="I16" s="26" t="str">
        <f>IF(MOD(整月外場班表!I16,1)=0,CONCATENATE(整月外場班表!I16,"00"),CONCATENATE(INT(整月外場班表!I16),"30"))</f>
        <v>00</v>
      </c>
      <c r="J16" s="25" t="str">
        <f>IF(MOD(整月外場班表!J16,1)=0,CONCATENATE(整月外場班表!J16,"00"),CONCATENATE(INT(整月外場班表!J16),"30"))</f>
        <v>00</v>
      </c>
      <c r="K16" s="26" t="str">
        <f>IF(MOD(整月外場班表!K16,1)=0,CONCATENATE(整月外場班表!K16,"00"),CONCATENATE(INT(整月外場班表!K16),"30"))</f>
        <v>00</v>
      </c>
      <c r="L16" s="25" t="str">
        <f>IF(MOD(整月外場班表!L16,1)=0,CONCATENATE(整月外場班表!L16,"00"),CONCATENATE(INT(整月外場班表!L16),"30"))</f>
        <v>00</v>
      </c>
      <c r="M16" s="26" t="str">
        <f>IF(MOD(整月外場班表!M16,1)=0,CONCATENATE(整月外場班表!M16,"00"),CONCATENATE(INT(整月外場班表!M16),"30"))</f>
        <v>00</v>
      </c>
      <c r="N16" s="25" t="str">
        <f>IF(MOD(整月外場班表!N16,1)=0,CONCATENATE(整月外場班表!N16,"00"),CONCATENATE(INT(整月外場班表!N16),"30"))</f>
        <v>00</v>
      </c>
      <c r="O16" s="26" t="str">
        <f>IF(MOD(整月外場班表!O16,1)=0,CONCATENATE(整月外場班表!O16,"00"),CONCATENATE(INT(整月外場班表!O16),"30"))</f>
        <v>00</v>
      </c>
      <c r="P16" s="25" t="str">
        <f>IF(MOD(整月外場班表!P16,1)=0,CONCATENATE(整月外場班表!P16,"00"),CONCATENATE(INT(整月外場班表!P16),"30"))</f>
        <v>00</v>
      </c>
      <c r="Q16" s="26" t="str">
        <f>IF(MOD(整月外場班表!Q16,1)=0,CONCATENATE(整月外場班表!Q16,"00"),CONCATENATE(INT(整月外場班表!Q16),"30"))</f>
        <v>00</v>
      </c>
      <c r="R16" s="25" t="str">
        <f>IF(MOD(整月外場班表!R16,1)=0,CONCATENATE(整月外場班表!R16,"00"),CONCATENATE(INT(整月外場班表!R16),"30"))</f>
        <v>00</v>
      </c>
      <c r="S16" s="26" t="str">
        <f>IF(MOD(整月外場班表!S16,1)=0,CONCATENATE(整月外場班表!S16,"00"),CONCATENATE(INT(整月外場班表!S16),"30"))</f>
        <v>00</v>
      </c>
      <c r="T16" s="25" t="str">
        <f>IF(MOD(整月外場班表!T16,1)=0,CONCATENATE(整月外場班表!T16,"00"),CONCATENATE(INT(整月外場班表!T16),"30"))</f>
        <v>00</v>
      </c>
      <c r="U16" s="26" t="str">
        <f>IF(MOD(整月外場班表!U16,1)=0,CONCATENATE(整月外場班表!U16,"00"),CONCATENATE(INT(整月外場班表!U16),"30"))</f>
        <v>00</v>
      </c>
      <c r="V16" s="25" t="str">
        <f>IF(MOD(整月外場班表!V16,1)=0,CONCATENATE(整月外場班表!V16,"00"),CONCATENATE(INT(整月外場班表!V16),"30"))</f>
        <v>00</v>
      </c>
      <c r="W16" s="26" t="str">
        <f>IF(MOD(整月外場班表!W16,1)=0,CONCATENATE(整月外場班表!W16,"00"),CONCATENATE(INT(整月外場班表!W16),"30"))</f>
        <v>00</v>
      </c>
      <c r="X16" s="25" t="str">
        <f>IF(MOD(整月外場班表!X16,1)=0,CONCATENATE(整月外場班表!X16,"00"),CONCATENATE(INT(整月外場班表!X16),"30"))</f>
        <v>00</v>
      </c>
      <c r="Y16" s="26" t="str">
        <f>IF(MOD(整月外場班表!Y16,1)=0,CONCATENATE(整月外場班表!Y16,"00"),CONCATENATE(INT(整月外場班表!Y16),"30"))</f>
        <v>00</v>
      </c>
      <c r="Z16" s="25" t="str">
        <f>IF(MOD(整月外場班表!Z16,1)=0,CONCATENATE(整月外場班表!Z16,"00"),CONCATENATE(INT(整月外場班表!Z16),"30"))</f>
        <v>00</v>
      </c>
      <c r="AA16" s="26" t="str">
        <f>IF(MOD(整月外場班表!AA16,1)=0,CONCATENATE(整月外場班表!AA16,"00"),CONCATENATE(INT(整月外場班表!AA16),"30"))</f>
        <v>00</v>
      </c>
      <c r="AB16" s="25" t="str">
        <f>IF(MOD(整月外場班表!AB16,1)=0,CONCATENATE(整月外場班表!AB16,"00"),CONCATENATE(INT(整月外場班表!AB16),"30"))</f>
        <v>00</v>
      </c>
      <c r="AC16" s="26" t="str">
        <f>IF(MOD(整月外場班表!AC16,1)=0,CONCATENATE(整月外場班表!AC16,"00"),CONCATENATE(INT(整月外場班表!AC16),"30"))</f>
        <v>00</v>
      </c>
      <c r="AD16" s="25" t="str">
        <f>IF(MOD(整月外場班表!AD16,1)=0,CONCATENATE(整月外場班表!AD16,"00"),CONCATENATE(INT(整月外場班表!AD16),"30"))</f>
        <v>00</v>
      </c>
      <c r="AE16" s="26" t="str">
        <f>IF(MOD(整月外場班表!AE16,1)=0,CONCATENATE(整月外場班表!AE16,"00"),CONCATENATE(INT(整月外場班表!AE16),"30"))</f>
        <v>00</v>
      </c>
      <c r="AF16" s="25" t="str">
        <f>IF(MOD(整月外場班表!AF16,1)=0,CONCATENATE(整月外場班表!AF16,"00"),CONCATENATE(INT(整月外場班表!AF16),"30"))</f>
        <v>00</v>
      </c>
      <c r="AG16" s="26" t="str">
        <f>IF(MOD(整月外場班表!AG16,1)=0,CONCATENATE(整月外場班表!AG16,"00"),CONCATENATE(INT(整月外場班表!AG16),"30"))</f>
        <v>00</v>
      </c>
      <c r="AH16" s="25" t="str">
        <f>IF(MOD(整月外場班表!AH16,1)=0,CONCATENATE(整月外場班表!AH16,"00"),CONCATENATE(INT(整月外場班表!AH16),"30"))</f>
        <v>00</v>
      </c>
      <c r="AI16" s="26" t="str">
        <f>IF(MOD(整月外場班表!AI16,1)=0,CONCATENATE(整月外場班表!AI16,"00"),CONCATENATE(INT(整月外場班表!AI16),"30"))</f>
        <v>00</v>
      </c>
      <c r="AJ16" s="25" t="str">
        <f>IF(MOD(整月外場班表!AJ16,1)=0,CONCATENATE(整月外場班表!AJ16,"00"),CONCATENATE(INT(整月外場班表!AJ16),"30"))</f>
        <v>00</v>
      </c>
      <c r="AK16" s="26" t="str">
        <f>IF(MOD(整月外場班表!AK16,1)=0,CONCATENATE(整月外場班表!AK16,"00"),CONCATENATE(INT(整月外場班表!AK16),"30"))</f>
        <v>00</v>
      </c>
      <c r="AL16" s="25" t="str">
        <f>IF(MOD(整月外場班表!AL16,1)=0,CONCATENATE(整月外場班表!AL16,"00"),CONCATENATE(INT(整月外場班表!AL16),"30"))</f>
        <v>00</v>
      </c>
      <c r="AM16" s="26" t="str">
        <f>IF(MOD(整月外場班表!AM16,1)=0,CONCATENATE(整月外場班表!AM16,"00"),CONCATENATE(INT(整月外場班表!AM16),"30"))</f>
        <v>00</v>
      </c>
      <c r="AN16" s="25" t="str">
        <f>IF(MOD(整月外場班表!AN16,1)=0,CONCATENATE(整月外場班表!AN16,"00"),CONCATENATE(INT(整月外場班表!AN16),"30"))</f>
        <v>00</v>
      </c>
      <c r="AO16" s="26" t="str">
        <f>IF(MOD(整月外場班表!AO16,1)=0,CONCATENATE(整月外場班表!AO16,"00"),CONCATENATE(INT(整月外場班表!AO16),"30"))</f>
        <v>00</v>
      </c>
      <c r="AP16" s="25" t="str">
        <f>IF(MOD(整月外場班表!AP16,1)=0,CONCATENATE(整月外場班表!AP16,"00"),CONCATENATE(INT(整月外場班表!AP16),"30"))</f>
        <v>00</v>
      </c>
      <c r="AQ16" s="26" t="str">
        <f>IF(MOD(整月外場班表!AQ16,1)=0,CONCATENATE(整月外場班表!AQ16,"00"),CONCATENATE(INT(整月外場班表!AQ16),"30"))</f>
        <v>00</v>
      </c>
      <c r="AR16" s="25" t="str">
        <f>IF(MOD(整月外場班表!AR16,1)=0,CONCATENATE(整月外場班表!AR16,"00"),CONCATENATE(INT(整月外場班表!AR16),"30"))</f>
        <v>00</v>
      </c>
      <c r="AS16" s="26" t="str">
        <f>IF(MOD(整月外場班表!AS16,1)=0,CONCATENATE(整月外場班表!AS16,"00"),CONCATENATE(INT(整月外場班表!AS16),"30"))</f>
        <v>00</v>
      </c>
      <c r="AT16" s="25" t="str">
        <f>IF(MOD(整月外場班表!AT16,1)=0,CONCATENATE(整月外場班表!AT16,"00"),CONCATENATE(INT(整月外場班表!AT16),"30"))</f>
        <v>00</v>
      </c>
      <c r="AU16" s="26" t="str">
        <f>IF(MOD(整月外場班表!AU16,1)=0,CONCATENATE(整月外場班表!AU16,"00"),CONCATENATE(INT(整月外場班表!AU16),"30"))</f>
        <v>00</v>
      </c>
      <c r="AV16" s="25" t="str">
        <f>IF(MOD(整月外場班表!AV16,1)=0,CONCATENATE(整月外場班表!AV16,"00"),CONCATENATE(INT(整月外場班表!AV16),"30"))</f>
        <v>00</v>
      </c>
      <c r="AW16" s="26" t="str">
        <f>IF(MOD(整月外場班表!AW16,1)=0,CONCATENATE(整月外場班表!AW16,"00"),CONCATENATE(INT(整月外場班表!AW16),"30"))</f>
        <v>00</v>
      </c>
      <c r="AX16" s="25" t="str">
        <f>IF(MOD(整月外場班表!AX16,1)=0,CONCATENATE(整月外場班表!AX16,"00"),CONCATENATE(INT(整月外場班表!AX16),"30"))</f>
        <v>00</v>
      </c>
      <c r="AY16" s="26" t="str">
        <f>IF(MOD(整月外場班表!AY16,1)=0,CONCATENATE(整月外場班表!AY16,"00"),CONCATENATE(INT(整月外場班表!AY16),"30"))</f>
        <v>00</v>
      </c>
      <c r="AZ16" s="25" t="str">
        <f>IF(MOD(整月外場班表!AZ16,1)=0,CONCATENATE(整月外場班表!AZ16,"00"),CONCATENATE(INT(整月外場班表!AZ16),"30"))</f>
        <v>00</v>
      </c>
      <c r="BA16" s="26" t="str">
        <f>IF(MOD(整月外場班表!BA16,1)=0,CONCATENATE(整月外場班表!BA16,"00"),CONCATENATE(INT(整月外場班表!BA16),"30"))</f>
        <v>00</v>
      </c>
      <c r="BB16" s="25" t="str">
        <f>IF(MOD(整月外場班表!BB16,1)=0,CONCATENATE(整月外場班表!BB16,"00"),CONCATENATE(INT(整月外場班表!BB16),"30"))</f>
        <v>00</v>
      </c>
      <c r="BC16" s="26" t="str">
        <f>IF(MOD(整月外場班表!BC16,1)=0,CONCATENATE(整月外場班表!BC16,"00"),CONCATENATE(INT(整月外場班表!BC16),"30"))</f>
        <v>00</v>
      </c>
      <c r="BD16" s="25" t="str">
        <f>IF(MOD(整月外場班表!BD16,1)=0,CONCATENATE(整月外場班表!BD16,"00"),CONCATENATE(INT(整月外場班表!BD16),"30"))</f>
        <v>00</v>
      </c>
      <c r="BE16" s="26" t="str">
        <f>IF(MOD(整月外場班表!BE16,1)=0,CONCATENATE(整月外場班表!BE16,"00"),CONCATENATE(INT(整月外場班表!BE16),"30"))</f>
        <v>00</v>
      </c>
      <c r="BF16" s="25" t="str">
        <f>IF(MOD(整月外場班表!BF16,1)=0,CONCATENATE(整月外場班表!BF16,"00"),CONCATENATE(INT(整月外場班表!BF16),"30"))</f>
        <v>00</v>
      </c>
      <c r="BG16" s="26" t="str">
        <f>IF(MOD(整月外場班表!BG16,1)=0,CONCATENATE(整月外場班表!BG16,"00"),CONCATENATE(INT(整月外場班表!BG16),"30"))</f>
        <v>00</v>
      </c>
      <c r="BH16" s="25" t="str">
        <f>IF(MOD(整月外場班表!BH16,1)=0,CONCATENATE(整月外場班表!BH16,"00"),CONCATENATE(INT(整月外場班表!BH16),"30"))</f>
        <v>00</v>
      </c>
      <c r="BI16" s="26" t="str">
        <f>IF(MOD(整月外場班表!BI16,1)=0,CONCATENATE(整月外場班表!BI16,"00"),CONCATENATE(INT(整月外場班表!BI16),"30"))</f>
        <v>00</v>
      </c>
      <c r="BJ16" s="25" t="str">
        <f>IF(MOD(整月外場班表!BJ16,1)=0,CONCATENATE(整月外場班表!BJ16,"00"),CONCATENATE(INT(整月外場班表!BJ16),"30"))</f>
        <v>00</v>
      </c>
      <c r="BK16" s="26" t="str">
        <f>IF(MOD(整月外場班表!BK16,1)=0,CONCATENATE(整月外場班表!BK16,"00"),CONCATENATE(INT(整月外場班表!BK16),"30"))</f>
        <v>00</v>
      </c>
      <c r="BL16" s="25" t="str">
        <f>IF(MOD(整月外場班表!BL16,1)=0,CONCATENATE(整月外場班表!BL16,"00"),CONCATENATE(INT(整月外場班表!BL16),"30"))</f>
        <v>00</v>
      </c>
      <c r="BM16" s="26" t="str">
        <f>IF(MOD(整月外場班表!BM16,1)=0,CONCATENATE(整月外場班表!BM16,"00"),CONCATENATE(INT(整月外場班表!BM16),"30"))</f>
        <v>00</v>
      </c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ht="40" customHeight="1" thickBot="1">
      <c r="A17" s="47"/>
      <c r="B17" s="84"/>
      <c r="C17" s="95"/>
      <c r="D17" s="104" t="str" cm="1">
        <f t="array" ref="D17">_xlfn.IFS(AND(D15="00",D16="00"),";H",AND(D15&lt;&gt;"00",D16&lt;&gt;"00"),CONCATENATE(D15,"-",E16,"(",E15,"-",D16,")"),AND(D15="00",D16&lt;&gt;"00"),CONCATENATE(D16,"-",E16),AND(D15&lt;&gt;"00",D16="00"),CONCATENATE(D15,"-",E15))</f>
        <v>;H</v>
      </c>
      <c r="E17" s="105"/>
      <c r="F17" s="104" t="str" cm="1">
        <f t="array" ref="F17">_xlfn.IFS(AND(F15="00",F16="00"),";H",AND(F15&lt;&gt;"00",F16&lt;&gt;"00"),CONCATENATE(F15,"-",G16,"(",G15,"-",F16,")"),AND(F15="00",F16&lt;&gt;"00"),CONCATENATE(F16,"-",G16),AND(F15&lt;&gt;"00",F16="00"),CONCATENATE(F15,"-",G15))</f>
        <v>;H</v>
      </c>
      <c r="G17" s="105"/>
      <c r="H17" s="104" t="str" cm="1">
        <f t="array" ref="H17">_xlfn.IFS(AND(H15="00",H16="00"),";H",AND(H15&lt;&gt;"00",H16&lt;&gt;"00"),CONCATENATE(H15,"-",I16,"(",I15,"-",H16,")"),AND(H15="00",H16&lt;&gt;"00"),CONCATENATE(H16,"-",I16),AND(H15&lt;&gt;"00",H16="00"),CONCATENATE(H15,"-",I15))</f>
        <v>;H</v>
      </c>
      <c r="I17" s="105"/>
      <c r="J17" s="104" t="str" cm="1">
        <f t="array" ref="J17">_xlfn.IFS(AND(J15="00",J16="00"),";H",AND(J15&lt;&gt;"00",J16&lt;&gt;"00"),CONCATENATE(J15,"-",K16,"(",K15,"-",J16,")"),AND(J15="00",J16&lt;&gt;"00"),CONCATENATE(J16,"-",K16),AND(J15&lt;&gt;"00",J16="00"),CONCATENATE(J15,"-",K15))</f>
        <v>;H</v>
      </c>
      <c r="K17" s="105"/>
      <c r="L17" s="104" t="str" cm="1">
        <f t="array" ref="L17">_xlfn.IFS(AND(L15="00",L16="00"),";H",AND(L15&lt;&gt;"00",L16&lt;&gt;"00"),CONCATENATE(L15,"-",M16,"(",M15,"-",L16,")"),AND(L15="00",L16&lt;&gt;"00"),CONCATENATE(L16,"-",M16),AND(L15&lt;&gt;"00",L16="00"),CONCATENATE(L15,"-",M15))</f>
        <v>;H</v>
      </c>
      <c r="M17" s="105"/>
      <c r="N17" s="104" t="str" cm="1">
        <f t="array" ref="N17">_xlfn.IFS(AND(N15="00",N16="00"),";H",AND(N15&lt;&gt;"00",N16&lt;&gt;"00"),CONCATENATE(N15,"-",O16,"(",O15,"-",N16,")"),AND(N15="00",N16&lt;&gt;"00"),CONCATENATE(N16,"-",O16),AND(N15&lt;&gt;"00",N16="00"),CONCATENATE(N15,"-",O15))</f>
        <v>;H</v>
      </c>
      <c r="O17" s="105"/>
      <c r="P17" s="104" t="str" cm="1">
        <f t="array" ref="P17">_xlfn.IFS(AND(P15="00",P16="00"),";H",AND(P15&lt;&gt;"00",P16&lt;&gt;"00"),CONCATENATE(P15,"-",Q16,"(",Q15,"-",P16,")"),AND(P15="00",P16&lt;&gt;"00"),CONCATENATE(P16,"-",Q16),AND(P15&lt;&gt;"00",P16="00"),CONCATENATE(P15,"-",Q15))</f>
        <v>;H</v>
      </c>
      <c r="Q17" s="105"/>
      <c r="R17" s="104" t="str" cm="1">
        <f t="array" ref="R17">_xlfn.IFS(AND(R15="00",R16="00"),";H",AND(R15&lt;&gt;"00",R16&lt;&gt;"00"),CONCATENATE(R15,"-",S16,"(",S15,"-",R16,")"),AND(R15="00",R16&lt;&gt;"00"),CONCATENATE(R16,"-",S16),AND(R15&lt;&gt;"00",R16="00"),CONCATENATE(R15,"-",S15))</f>
        <v>;H</v>
      </c>
      <c r="S17" s="105"/>
      <c r="T17" s="104" t="str" cm="1">
        <f t="array" ref="T17">_xlfn.IFS(AND(T15="00",T16="00"),";H",AND(T15&lt;&gt;"00",T16&lt;&gt;"00"),CONCATENATE(T15,"-",U16,"(",U15,"-",T16,")"),AND(T15="00",T16&lt;&gt;"00"),CONCATENATE(T16,"-",U16),AND(T15&lt;&gt;"00",T16="00"),CONCATENATE(T15,"-",U15))</f>
        <v>;H</v>
      </c>
      <c r="U17" s="105"/>
      <c r="V17" s="104" t="str" cm="1">
        <f t="array" ref="V17">_xlfn.IFS(AND(V15="00",V16="00"),";H",AND(V15&lt;&gt;"00",V16&lt;&gt;"00"),CONCATENATE(V15,"-",W16,"(",W15,"-",V16,")"),AND(V15="00",V16&lt;&gt;"00"),CONCATENATE(V16,"-",W16),AND(V15&lt;&gt;"00",V16="00"),CONCATENATE(V15,"-",W15))</f>
        <v>;H</v>
      </c>
      <c r="W17" s="105"/>
      <c r="X17" s="104" t="str" cm="1">
        <f t="array" ref="X17">_xlfn.IFS(AND(X15="00",X16="00"),";H",AND(X15&lt;&gt;"00",X16&lt;&gt;"00"),CONCATENATE(X15,"-",Y16,"(",Y15,"-",X16,")"),AND(X15="00",X16&lt;&gt;"00"),CONCATENATE(X16,"-",Y16),AND(X15&lt;&gt;"00",X16="00"),CONCATENATE(X15,"-",Y15))</f>
        <v>;H</v>
      </c>
      <c r="Y17" s="105"/>
      <c r="Z17" s="104" t="str" cm="1">
        <f t="array" ref="Z17">_xlfn.IFS(AND(Z15="00",Z16="00"),";H",AND(Z15&lt;&gt;"00",Z16&lt;&gt;"00"),CONCATENATE(Z15,"-",AA16,"(",AA15,"-",Z16,")"),AND(Z15="00",Z16&lt;&gt;"00"),CONCATENATE(Z16,"-",AA16),AND(Z15&lt;&gt;"00",Z16="00"),CONCATENATE(Z15,"-",AA15))</f>
        <v>;H</v>
      </c>
      <c r="AA17" s="105"/>
      <c r="AB17" s="104" t="str" cm="1">
        <f t="array" ref="AB17">_xlfn.IFS(AND(AB15="00",AB16="00"),";H",AND(AB15&lt;&gt;"00",AB16&lt;&gt;"00"),CONCATENATE(AB15,"-",AC16,"(",AC15,"-",AB16,")"),AND(AB15="00",AB16&lt;&gt;"00"),CONCATENATE(AB16,"-",AC16),AND(AB15&lt;&gt;"00",AB16="00"),CONCATENATE(AB15,"-",AC15))</f>
        <v>;H</v>
      </c>
      <c r="AC17" s="105"/>
      <c r="AD17" s="104" t="str" cm="1">
        <f t="array" ref="AD17">_xlfn.IFS(AND(AD15="00",AD16="00"),";H",AND(AD15&lt;&gt;"00",AD16&lt;&gt;"00"),CONCATENATE(AD15,"-",AE16,"(",AE15,"-",AD16,")"),AND(AD15="00",AD16&lt;&gt;"00"),CONCATENATE(AD16,"-",AE16),AND(AD15&lt;&gt;"00",AD16="00"),CONCATENATE(AD15,"-",AE15))</f>
        <v>;H</v>
      </c>
      <c r="AE17" s="105"/>
      <c r="AF17" s="104" t="str" cm="1">
        <f t="array" ref="AF17">_xlfn.IFS(AND(AF15="00",AF16="00"),";H",AND(AF15&lt;&gt;"00",AF16&lt;&gt;"00"),CONCATENATE(AF15,"-",AG16,"(",AG15,"-",AF16,")"),AND(AF15="00",AF16&lt;&gt;"00"),CONCATENATE(AF16,"-",AG16),AND(AF15&lt;&gt;"00",AF16="00"),CONCATENATE(AF15,"-",AG15))</f>
        <v>;H</v>
      </c>
      <c r="AG17" s="105"/>
      <c r="AH17" s="104" t="str" cm="1">
        <f t="array" ref="AH17">_xlfn.IFS(AND(AH15="00",AH16="00"),";H",AND(AH15&lt;&gt;"00",AH16&lt;&gt;"00"),CONCATENATE(AH15,"-",AI16,"(",AI15,"-",AH16,")"),AND(AH15="00",AH16&lt;&gt;"00"),CONCATENATE(AH16,"-",AI16),AND(AH15&lt;&gt;"00",AH16="00"),CONCATENATE(AH15,"-",AI15))</f>
        <v>;H</v>
      </c>
      <c r="AI17" s="105"/>
      <c r="AJ17" s="104" t="str" cm="1">
        <f t="array" ref="AJ17">_xlfn.IFS(AND(AJ15="00",AJ16="00"),";H",AND(AJ15&lt;&gt;"00",AJ16&lt;&gt;"00"),CONCATENATE(AJ15,"-",AK16,"(",AK15,"-",AJ16,")"),AND(AJ15="00",AJ16&lt;&gt;"00"),CONCATENATE(AJ16,"-",AK16),AND(AJ15&lt;&gt;"00",AJ16="00"),CONCATENATE(AJ15,"-",AK15))</f>
        <v>;H</v>
      </c>
      <c r="AK17" s="105"/>
      <c r="AL17" s="104" t="str" cm="1">
        <f t="array" ref="AL17">_xlfn.IFS(AND(AL15="00",AL16="00"),";H",AND(AL15&lt;&gt;"00",AL16&lt;&gt;"00"),CONCATENATE(AL15,"-",AM16,"(",AM15,"-",AL16,")"),AND(AL15="00",AL16&lt;&gt;"00"),CONCATENATE(AL16,"-",AM16),AND(AL15&lt;&gt;"00",AL16="00"),CONCATENATE(AL15,"-",AM15))</f>
        <v>;H</v>
      </c>
      <c r="AM17" s="105"/>
      <c r="AN17" s="104" t="str" cm="1">
        <f t="array" ref="AN17">_xlfn.IFS(AND(AN15="00",AN16="00"),";H",AND(AN15&lt;&gt;"00",AN16&lt;&gt;"00"),CONCATENATE(AN15,"-",AO16,"(",AO15,"-",AN16,")"),AND(AN15="00",AN16&lt;&gt;"00"),CONCATENATE(AN16,"-",AO16),AND(AN15&lt;&gt;"00",AN16="00"),CONCATENATE(AN15,"-",AO15))</f>
        <v>;H</v>
      </c>
      <c r="AO17" s="105"/>
      <c r="AP17" s="104" t="str" cm="1">
        <f t="array" ref="AP17">_xlfn.IFS(AND(AP15="00",AP16="00"),";H",AND(AP15&lt;&gt;"00",AP16&lt;&gt;"00"),CONCATENATE(AP15,"-",AQ16,"(",AQ15,"-",AP16,")"),AND(AP15="00",AP16&lt;&gt;"00"),CONCATENATE(AP16,"-",AQ16),AND(AP15&lt;&gt;"00",AP16="00"),CONCATENATE(AP15,"-",AQ15))</f>
        <v>;H</v>
      </c>
      <c r="AQ17" s="105"/>
      <c r="AR17" s="104" t="str" cm="1">
        <f t="array" ref="AR17">_xlfn.IFS(AND(AR15="00",AR16="00"),";H",AND(AR15&lt;&gt;"00",AR16&lt;&gt;"00"),CONCATENATE(AR15,"-",AS16,"(",AS15,"-",AR16,")"),AND(AR15="00",AR16&lt;&gt;"00"),CONCATENATE(AR16,"-",AS16),AND(AR15&lt;&gt;"00",AR16="00"),CONCATENATE(AR15,"-",AS15))</f>
        <v>;H</v>
      </c>
      <c r="AS17" s="105"/>
      <c r="AT17" s="104" t="str" cm="1">
        <f t="array" ref="AT17">_xlfn.IFS(AND(AT15="00",AT16="00"),";H",AND(AT15&lt;&gt;"00",AT16&lt;&gt;"00"),CONCATENATE(AT15,"-",AU16,"(",AU15,"-",AT16,")"),AND(AT15="00",AT16&lt;&gt;"00"),CONCATENATE(AT16,"-",AU16),AND(AT15&lt;&gt;"00",AT16="00"),CONCATENATE(AT15,"-",AU15))</f>
        <v>;H</v>
      </c>
      <c r="AU17" s="105"/>
      <c r="AV17" s="104" t="str" cm="1">
        <f t="array" ref="AV17">_xlfn.IFS(AND(AV15="00",AV16="00"),";H",AND(AV15&lt;&gt;"00",AV16&lt;&gt;"00"),CONCATENATE(AV15,"-",AW16,"(",AW15,"-",AV16,")"),AND(AV15="00",AV16&lt;&gt;"00"),CONCATENATE(AV16,"-",AW16),AND(AV15&lt;&gt;"00",AV16="00"),CONCATENATE(AV15,"-",AW15))</f>
        <v>;H</v>
      </c>
      <c r="AW17" s="105"/>
      <c r="AX17" s="104" t="str" cm="1">
        <f t="array" ref="AX17">_xlfn.IFS(AND(AX15="00",AX16="00"),";H",AND(AX15&lt;&gt;"00",AX16&lt;&gt;"00"),CONCATENATE(AX15,"-",AY16,"(",AY15,"-",AX16,")"),AND(AX15="00",AX16&lt;&gt;"00"),CONCATENATE(AX16,"-",AY16),AND(AX15&lt;&gt;"00",AX16="00"),CONCATENATE(AX15,"-",AY15))</f>
        <v>;H</v>
      </c>
      <c r="AY17" s="105"/>
      <c r="AZ17" s="104" t="str" cm="1">
        <f t="array" ref="AZ17">_xlfn.IFS(AND(AZ15="00",AZ16="00"),";H",AND(AZ15&lt;&gt;"00",AZ16&lt;&gt;"00"),CONCATENATE(AZ15,"-",BA16,"(",BA15,"-",AZ16,")"),AND(AZ15="00",AZ16&lt;&gt;"00"),CONCATENATE(AZ16,"-",BA16),AND(AZ15&lt;&gt;"00",AZ16="00"),CONCATENATE(AZ15,"-",BA15))</f>
        <v>;H</v>
      </c>
      <c r="BA17" s="105"/>
      <c r="BB17" s="104" t="str" cm="1">
        <f t="array" ref="BB17">_xlfn.IFS(AND(BB15="00",BB16="00"),";H",AND(BB15&lt;&gt;"00",BB16&lt;&gt;"00"),CONCATENATE(BB15,"-",BC16,"(",BC15,"-",BB16,")"),AND(BB15="00",BB16&lt;&gt;"00"),CONCATENATE(BB16,"-",BC16),AND(BB15&lt;&gt;"00",BB16="00"),CONCATENATE(BB15,"-",BC15))</f>
        <v>;H</v>
      </c>
      <c r="BC17" s="105"/>
      <c r="BD17" s="104" t="str" cm="1">
        <f t="array" ref="BD17">_xlfn.IFS(AND(BD15="00",BD16="00"),";H",AND(BD15&lt;&gt;"00",BD16&lt;&gt;"00"),CONCATENATE(BD15,"-",BE16,"(",BE15,"-",BD16,")"),AND(BD15="00",BD16&lt;&gt;"00"),CONCATENATE(BD16,"-",BE16),AND(BD15&lt;&gt;"00",BD16="00"),CONCATENATE(BD15,"-",BE15))</f>
        <v>;H</v>
      </c>
      <c r="BE17" s="105"/>
      <c r="BF17" s="104" t="str" cm="1">
        <f t="array" ref="BF17">_xlfn.IFS(AND(BF15="00",BF16="00"),";H",AND(BF15&lt;&gt;"00",BF16&lt;&gt;"00"),CONCATENATE(BF15,"-",BG16,"(",BG15,"-",BF16,")"),AND(BF15="00",BF16&lt;&gt;"00"),CONCATENATE(BF16,"-",BG16),AND(BF15&lt;&gt;"00",BF16="00"),CONCATENATE(BF15,"-",BG15))</f>
        <v>;H</v>
      </c>
      <c r="BG17" s="105"/>
      <c r="BH17" s="104" t="str" cm="1">
        <f t="array" ref="BH17">_xlfn.IFS(AND(BH15="00",BH16="00"),";H",AND(BH15&lt;&gt;"00",BH16&lt;&gt;"00"),CONCATENATE(BH15,"-",BI16,"(",BI15,"-",BH16,")"),AND(BH15="00",BH16&lt;&gt;"00"),CONCATENATE(BH16,"-",BI16),AND(BH15&lt;&gt;"00",BH16="00"),CONCATENATE(BH15,"-",BI15))</f>
        <v>;H</v>
      </c>
      <c r="BI17" s="105"/>
      <c r="BJ17" s="104" t="str" cm="1">
        <f t="array" ref="BJ17">_xlfn.IFS(AND(BJ15="00",BJ16="00"),";H",AND(BJ15&lt;&gt;"00",BJ16&lt;&gt;"00"),CONCATENATE(BJ15,"-",BK16,"(",BK15,"-",BJ16,")"),AND(BJ15="00",BJ16&lt;&gt;"00"),CONCATENATE(BJ16,"-",BK16),AND(BJ15&lt;&gt;"00",BJ16="00"),CONCATENATE(BJ15,"-",BK15))</f>
        <v>;H</v>
      </c>
      <c r="BK17" s="105"/>
      <c r="BL17" s="104" t="str" cm="1">
        <f t="array" ref="BL17">_xlfn.IFS(AND(BL15="00",BL16="00"),";H",AND(BL15&lt;&gt;"00",BL16&lt;&gt;"00"),CONCATENATE(BL15,"-",BM16,"(",BM15,"-",BL16,")"),AND(BL15="00",BL16&lt;&gt;"00"),CONCATENATE(BL16,"-",BM16),AND(BL15&lt;&gt;"00",BL16="00"),CONCATENATE(BL15,"-",BM15))</f>
        <v>;H</v>
      </c>
      <c r="BM17" s="105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ht="15" thickBot="1">
      <c r="A18" s="83"/>
      <c r="B18" s="145" t="str">
        <f>整月外場班表!B18</f>
        <v>林郁珮</v>
      </c>
      <c r="C18" s="93"/>
      <c r="D18" s="23" t="str">
        <f>IF(MOD(整月外場班表!D18,1)=0,CONCATENATE(整月外場班表!D18,"00"),CONCATENATE(INT(整月外場班表!D18),"30"))</f>
        <v>00</v>
      </c>
      <c r="E18" s="24" t="str">
        <f>IF(MOD(整月外場班表!E18,1)=0,CONCATENATE(整月外場班表!E18,"00"),CONCATENATE(INT(整月外場班表!E18),"30"))</f>
        <v>00</v>
      </c>
      <c r="F18" s="23" t="str">
        <f>IF(MOD(整月外場班表!F18,1)=0,CONCATENATE(整月外場班表!F18,"00"),CONCATENATE(INT(整月外場班表!F18),"30"))</f>
        <v>00</v>
      </c>
      <c r="G18" s="24" t="str">
        <f>IF(MOD(整月外場班表!G18,1)=0,CONCATENATE(整月外場班表!G18,"00"),CONCATENATE(INT(整月外場班表!G18),"30"))</f>
        <v>00</v>
      </c>
      <c r="H18" s="23" t="str">
        <f>IF(MOD(整月外場班表!H18,1)=0,CONCATENATE(整月外場班表!H18,"00"),CONCATENATE(INT(整月外場班表!H18),"30"))</f>
        <v>00</v>
      </c>
      <c r="I18" s="24" t="str">
        <f>IF(MOD(整月外場班表!I18,1)=0,CONCATENATE(整月外場班表!I18,"00"),CONCATENATE(INT(整月外場班表!I18),"30"))</f>
        <v>00</v>
      </c>
      <c r="J18" s="23" t="str">
        <f>IF(MOD(整月外場班表!J18,1)=0,CONCATENATE(整月外場班表!J18,"00"),CONCATENATE(INT(整月外場班表!J18),"30"))</f>
        <v>00</v>
      </c>
      <c r="K18" s="24" t="str">
        <f>IF(MOD(整月外場班表!K18,1)=0,CONCATENATE(整月外場班表!K18,"00"),CONCATENATE(INT(整月外場班表!K18),"30"))</f>
        <v>00</v>
      </c>
      <c r="L18" s="23" t="str">
        <f>IF(MOD(整月外場班表!L18,1)=0,CONCATENATE(整月外場班表!L18,"00"),CONCATENATE(INT(整月外場班表!L18),"30"))</f>
        <v>00</v>
      </c>
      <c r="M18" s="24" t="str">
        <f>IF(MOD(整月外場班表!M18,1)=0,CONCATENATE(整月外場班表!M18,"00"),CONCATENATE(INT(整月外場班表!M18),"30"))</f>
        <v>00</v>
      </c>
      <c r="N18" s="23" t="str">
        <f>IF(MOD(整月外場班表!N18,1)=0,CONCATENATE(整月外場班表!N18,"00"),CONCATENATE(INT(整月外場班表!N18),"30"))</f>
        <v>00</v>
      </c>
      <c r="O18" s="24" t="str">
        <f>IF(MOD(整月外場班表!O18,1)=0,CONCATENATE(整月外場班表!O18,"00"),CONCATENATE(INT(整月外場班表!O18),"30"))</f>
        <v>00</v>
      </c>
      <c r="P18" s="23" t="str">
        <f>IF(MOD(整月外場班表!P18,1)=0,CONCATENATE(整月外場班表!P18,"00"),CONCATENATE(INT(整月外場班表!P18),"30"))</f>
        <v>00</v>
      </c>
      <c r="Q18" s="24" t="str">
        <f>IF(MOD(整月外場班表!Q18,1)=0,CONCATENATE(整月外場班表!Q18,"00"),CONCATENATE(INT(整月外場班表!Q18),"30"))</f>
        <v>00</v>
      </c>
      <c r="R18" s="23" t="str">
        <f>IF(MOD(整月外場班表!R18,1)=0,CONCATENATE(整月外場班表!R18,"00"),CONCATENATE(INT(整月外場班表!R18),"30"))</f>
        <v>00</v>
      </c>
      <c r="S18" s="24" t="str">
        <f>IF(MOD(整月外場班表!S18,1)=0,CONCATENATE(整月外場班表!S18,"00"),CONCATENATE(INT(整月外場班表!S18),"30"))</f>
        <v>00</v>
      </c>
      <c r="T18" s="23" t="str">
        <f>IF(MOD(整月外場班表!T18,1)=0,CONCATENATE(整月外場班表!T18,"00"),CONCATENATE(INT(整月外場班表!T18),"30"))</f>
        <v>00</v>
      </c>
      <c r="U18" s="24" t="str">
        <f>IF(MOD(整月外場班表!U18,1)=0,CONCATENATE(整月外場班表!U18,"00"),CONCATENATE(INT(整月外場班表!U18),"30"))</f>
        <v>00</v>
      </c>
      <c r="V18" s="23" t="str">
        <f>IF(MOD(整月外場班表!V18,1)=0,CONCATENATE(整月外場班表!V18,"00"),CONCATENATE(INT(整月外場班表!V18),"30"))</f>
        <v>00</v>
      </c>
      <c r="W18" s="24" t="str">
        <f>IF(MOD(整月外場班表!W18,1)=0,CONCATENATE(整月外場班表!W18,"00"),CONCATENATE(INT(整月外場班表!W18),"30"))</f>
        <v>00</v>
      </c>
      <c r="X18" s="23" t="str">
        <f>IF(MOD(整月外場班表!X18,1)=0,CONCATENATE(整月外場班表!X18,"00"),CONCATENATE(INT(整月外場班表!X18),"30"))</f>
        <v>00</v>
      </c>
      <c r="Y18" s="24" t="str">
        <f>IF(MOD(整月外場班表!Y18,1)=0,CONCATENATE(整月外場班表!Y18,"00"),CONCATENATE(INT(整月外場班表!Y18),"30"))</f>
        <v>00</v>
      </c>
      <c r="Z18" s="23" t="str">
        <f>IF(MOD(整月外場班表!Z18,1)=0,CONCATENATE(整月外場班表!Z18,"00"),CONCATENATE(INT(整月外場班表!Z18),"30"))</f>
        <v>00</v>
      </c>
      <c r="AA18" s="24" t="str">
        <f>IF(MOD(整月外場班表!AA18,1)=0,CONCATENATE(整月外場班表!AA18,"00"),CONCATENATE(INT(整月外場班表!AA18),"30"))</f>
        <v>00</v>
      </c>
      <c r="AB18" s="23" t="str">
        <f>IF(MOD(整月外場班表!AB18,1)=0,CONCATENATE(整月外場班表!AB18,"00"),CONCATENATE(INT(整月外場班表!AB18),"30"))</f>
        <v>00</v>
      </c>
      <c r="AC18" s="24" t="str">
        <f>IF(MOD(整月外場班表!AC18,1)=0,CONCATENATE(整月外場班表!AC18,"00"),CONCATENATE(INT(整月外場班表!AC18),"30"))</f>
        <v>00</v>
      </c>
      <c r="AD18" s="23" t="str">
        <f>IF(MOD(整月外場班表!AD18,1)=0,CONCATENATE(整月外場班表!AD18,"00"),CONCATENATE(INT(整月外場班表!AD18),"30"))</f>
        <v>00</v>
      </c>
      <c r="AE18" s="24" t="str">
        <f>IF(MOD(整月外場班表!AE18,1)=0,CONCATENATE(整月外場班表!AE18,"00"),CONCATENATE(INT(整月外場班表!AE18),"30"))</f>
        <v>00</v>
      </c>
      <c r="AF18" s="23" t="str">
        <f>IF(MOD(整月外場班表!AF18,1)=0,CONCATENATE(整月外場班表!AF18,"00"),CONCATENATE(INT(整月外場班表!AF18),"30"))</f>
        <v>00</v>
      </c>
      <c r="AG18" s="24" t="str">
        <f>IF(MOD(整月外場班表!AG18,1)=0,CONCATENATE(整月外場班表!AG18,"00"),CONCATENATE(INT(整月外場班表!AG18),"30"))</f>
        <v>00</v>
      </c>
      <c r="AH18" s="23" t="str">
        <f>IF(MOD(整月外場班表!AH18,1)=0,CONCATENATE(整月外場班表!AH18,"00"),CONCATENATE(INT(整月外場班表!AH18),"30"))</f>
        <v>00</v>
      </c>
      <c r="AI18" s="24" t="str">
        <f>IF(MOD(整月外場班表!AI18,1)=0,CONCATENATE(整月外場班表!AI18,"00"),CONCATENATE(INT(整月外場班表!AI18),"30"))</f>
        <v>00</v>
      </c>
      <c r="AJ18" s="23" t="str">
        <f>IF(MOD(整月外場班表!AJ18,1)=0,CONCATENATE(整月外場班表!AJ18,"00"),CONCATENATE(INT(整月外場班表!AJ18),"30"))</f>
        <v>00</v>
      </c>
      <c r="AK18" s="24" t="str">
        <f>IF(MOD(整月外場班表!AK18,1)=0,CONCATENATE(整月外場班表!AK18,"00"),CONCATENATE(INT(整月外場班表!AK18),"30"))</f>
        <v>00</v>
      </c>
      <c r="AL18" s="23" t="str">
        <f>IF(MOD(整月外場班表!AL18,1)=0,CONCATENATE(整月外場班表!AL18,"00"),CONCATENATE(INT(整月外場班表!AL18),"30"))</f>
        <v>00</v>
      </c>
      <c r="AM18" s="24" t="str">
        <f>IF(MOD(整月外場班表!AM18,1)=0,CONCATENATE(整月外場班表!AM18,"00"),CONCATENATE(INT(整月外場班表!AM18),"30"))</f>
        <v>00</v>
      </c>
      <c r="AN18" s="23" t="str">
        <f>IF(MOD(整月外場班表!AN18,1)=0,CONCATENATE(整月外場班表!AN18,"00"),CONCATENATE(INT(整月外場班表!AN18),"30"))</f>
        <v>00</v>
      </c>
      <c r="AO18" s="24" t="str">
        <f>IF(MOD(整月外場班表!AO18,1)=0,CONCATENATE(整月外場班表!AO18,"00"),CONCATENATE(INT(整月外場班表!AO18),"30"))</f>
        <v>00</v>
      </c>
      <c r="AP18" s="23" t="str">
        <f>IF(MOD(整月外場班表!AP18,1)=0,CONCATENATE(整月外場班表!AP18,"00"),CONCATENATE(INT(整月外場班表!AP18),"30"))</f>
        <v>00</v>
      </c>
      <c r="AQ18" s="24" t="str">
        <f>IF(MOD(整月外場班表!AQ18,1)=0,CONCATENATE(整月外場班表!AQ18,"00"),CONCATENATE(INT(整月外場班表!AQ18),"30"))</f>
        <v>00</v>
      </c>
      <c r="AR18" s="23" t="str">
        <f>IF(MOD(整月外場班表!AR18,1)=0,CONCATENATE(整月外場班表!AR18,"00"),CONCATENATE(INT(整月外場班表!AR18),"30"))</f>
        <v>00</v>
      </c>
      <c r="AS18" s="24" t="str">
        <f>IF(MOD(整月外場班表!AS18,1)=0,CONCATENATE(整月外場班表!AS18,"00"),CONCATENATE(INT(整月外場班表!AS18),"30"))</f>
        <v>00</v>
      </c>
      <c r="AT18" s="23" t="str">
        <f>IF(MOD(整月外場班表!AT18,1)=0,CONCATENATE(整月外場班表!AT18,"00"),CONCATENATE(INT(整月外場班表!AT18),"30"))</f>
        <v>00</v>
      </c>
      <c r="AU18" s="24" t="str">
        <f>IF(MOD(整月外場班表!AU18,1)=0,CONCATENATE(整月外場班表!AU18,"00"),CONCATENATE(INT(整月外場班表!AU18),"30"))</f>
        <v>00</v>
      </c>
      <c r="AV18" s="23" t="str">
        <f>IF(MOD(整月外場班表!AV18,1)=0,CONCATENATE(整月外場班表!AV18,"00"),CONCATENATE(INT(整月外場班表!AV18),"30"))</f>
        <v>00</v>
      </c>
      <c r="AW18" s="24" t="str">
        <f>IF(MOD(整月外場班表!AW18,1)=0,CONCATENATE(整月外場班表!AW18,"00"),CONCATENATE(INT(整月外場班表!AW18),"30"))</f>
        <v>00</v>
      </c>
      <c r="AX18" s="23" t="str">
        <f>IF(MOD(整月外場班表!AX18,1)=0,CONCATENATE(整月外場班表!AX18,"00"),CONCATENATE(INT(整月外場班表!AX18),"30"))</f>
        <v>00</v>
      </c>
      <c r="AY18" s="24" t="str">
        <f>IF(MOD(整月外場班表!AY18,1)=0,CONCATENATE(整月外場班表!AY18,"00"),CONCATENATE(INT(整月外場班表!AY18),"30"))</f>
        <v>00</v>
      </c>
      <c r="AZ18" s="23" t="str">
        <f>IF(MOD(整月外場班表!AZ18,1)=0,CONCATENATE(整月外場班表!AZ18,"00"),CONCATENATE(INT(整月外場班表!AZ18),"30"))</f>
        <v>00</v>
      </c>
      <c r="BA18" s="24" t="str">
        <f>IF(MOD(整月外場班表!BA18,1)=0,CONCATENATE(整月外場班表!BA18,"00"),CONCATENATE(INT(整月外場班表!BA18),"30"))</f>
        <v>00</v>
      </c>
      <c r="BB18" s="23" t="str">
        <f>IF(MOD(整月外場班表!BB18,1)=0,CONCATENATE(整月外場班表!BB18,"00"),CONCATENATE(INT(整月外場班表!BB18),"30"))</f>
        <v>00</v>
      </c>
      <c r="BC18" s="24" t="str">
        <f>IF(MOD(整月外場班表!BC18,1)=0,CONCATENATE(整月外場班表!BC18,"00"),CONCATENATE(INT(整月外場班表!BC18),"30"))</f>
        <v>00</v>
      </c>
      <c r="BD18" s="23" t="str">
        <f>IF(MOD(整月外場班表!BD18,1)=0,CONCATENATE(整月外場班表!BD18,"00"),CONCATENATE(INT(整月外場班表!BD18),"30"))</f>
        <v>00</v>
      </c>
      <c r="BE18" s="24" t="str">
        <f>IF(MOD(整月外場班表!BE18,1)=0,CONCATENATE(整月外場班表!BE18,"00"),CONCATENATE(INT(整月外場班表!BE18),"30"))</f>
        <v>00</v>
      </c>
      <c r="BF18" s="23" t="str">
        <f>IF(MOD(整月外場班表!BF18,1)=0,CONCATENATE(整月外場班表!BF18,"00"),CONCATENATE(INT(整月外場班表!BF18),"30"))</f>
        <v>00</v>
      </c>
      <c r="BG18" s="24" t="str">
        <f>IF(MOD(整月外場班表!BG18,1)=0,CONCATENATE(整月外場班表!BG18,"00"),CONCATENATE(INT(整月外場班表!BG18),"30"))</f>
        <v>00</v>
      </c>
      <c r="BH18" s="23" t="str">
        <f>IF(MOD(整月外場班表!BH18,1)=0,CONCATENATE(整月外場班表!BH18,"00"),CONCATENATE(INT(整月外場班表!BH18),"30"))</f>
        <v>00</v>
      </c>
      <c r="BI18" s="24" t="str">
        <f>IF(MOD(整月外場班表!BI18,1)=0,CONCATENATE(整月外場班表!BI18,"00"),CONCATENATE(INT(整月外場班表!BI18),"30"))</f>
        <v>00</v>
      </c>
      <c r="BJ18" s="23" t="str">
        <f>IF(MOD(整月外場班表!BJ18,1)=0,CONCATENATE(整月外場班表!BJ18,"00"),CONCATENATE(INT(整月外場班表!BJ18),"30"))</f>
        <v>00</v>
      </c>
      <c r="BK18" s="24" t="str">
        <f>IF(MOD(整月外場班表!BK18,1)=0,CONCATENATE(整月外場班表!BK18,"00"),CONCATENATE(INT(整月外場班表!BK18),"30"))</f>
        <v>00</v>
      </c>
      <c r="BL18" s="23" t="str">
        <f>IF(MOD(整月外場班表!BL18,1)=0,CONCATENATE(整月外場班表!BL18,"00"),CONCATENATE(INT(整月外場班表!BL18),"30"))</f>
        <v>00</v>
      </c>
      <c r="BM18" s="24" t="str">
        <f>IF(MOD(整月外場班表!BM18,1)=0,CONCATENATE(整月外場班表!BM18,"00"),CONCATENATE(INT(整月外場班表!BM18),"30"))</f>
        <v>00</v>
      </c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</row>
    <row r="19" spans="1:81" ht="15" thickBot="1">
      <c r="A19" s="84"/>
      <c r="B19" s="86"/>
      <c r="C19" s="94"/>
      <c r="D19" s="25" t="str">
        <f>IF(MOD(整月外場班表!D19,1)=0,CONCATENATE(整月外場班表!D19,"00"),CONCATENATE(INT(整月外場班表!D19),"30"))</f>
        <v>00</v>
      </c>
      <c r="E19" s="26" t="str">
        <f>IF(MOD(整月外場班表!E19,1)=0,CONCATENATE(整月外場班表!E19,"00"),CONCATENATE(INT(整月外場班表!E19),"30"))</f>
        <v>00</v>
      </c>
      <c r="F19" s="25" t="str">
        <f>IF(MOD(整月外場班表!F19,1)=0,CONCATENATE(整月外場班表!F19,"00"),CONCATENATE(INT(整月外場班表!F19),"30"))</f>
        <v>00</v>
      </c>
      <c r="G19" s="26" t="str">
        <f>IF(MOD(整月外場班表!G19,1)=0,CONCATENATE(整月外場班表!G19,"00"),CONCATENATE(INT(整月外場班表!G19),"30"))</f>
        <v>00</v>
      </c>
      <c r="H19" s="25" t="str">
        <f>IF(MOD(整月外場班表!H19,1)=0,CONCATENATE(整月外場班表!H19,"00"),CONCATENATE(INT(整月外場班表!H19),"30"))</f>
        <v>00</v>
      </c>
      <c r="I19" s="26" t="str">
        <f>IF(MOD(整月外場班表!I19,1)=0,CONCATENATE(整月外場班表!I19,"00"),CONCATENATE(INT(整月外場班表!I19),"30"))</f>
        <v>00</v>
      </c>
      <c r="J19" s="25" t="str">
        <f>IF(MOD(整月外場班表!J19,1)=0,CONCATENATE(整月外場班表!J19,"00"),CONCATENATE(INT(整月外場班表!J19),"30"))</f>
        <v>00</v>
      </c>
      <c r="K19" s="26" t="str">
        <f>IF(MOD(整月外場班表!K19,1)=0,CONCATENATE(整月外場班表!K19,"00"),CONCATENATE(INT(整月外場班表!K19),"30"))</f>
        <v>00</v>
      </c>
      <c r="L19" s="25" t="str">
        <f>IF(MOD(整月外場班表!L19,1)=0,CONCATENATE(整月外場班表!L19,"00"),CONCATENATE(INT(整月外場班表!L19),"30"))</f>
        <v>00</v>
      </c>
      <c r="M19" s="26" t="str">
        <f>IF(MOD(整月外場班表!M19,1)=0,CONCATENATE(整月外場班表!M19,"00"),CONCATENATE(INT(整月外場班表!M19),"30"))</f>
        <v>00</v>
      </c>
      <c r="N19" s="25" t="str">
        <f>IF(MOD(整月外場班表!N19,1)=0,CONCATENATE(整月外場班表!N19,"00"),CONCATENATE(INT(整月外場班表!N19),"30"))</f>
        <v>00</v>
      </c>
      <c r="O19" s="26" t="str">
        <f>IF(MOD(整月外場班表!O19,1)=0,CONCATENATE(整月外場班表!O19,"00"),CONCATENATE(INT(整月外場班表!O19),"30"))</f>
        <v>00</v>
      </c>
      <c r="P19" s="25" t="str">
        <f>IF(MOD(整月外場班表!P19,1)=0,CONCATENATE(整月外場班表!P19,"00"),CONCATENATE(INT(整月外場班表!P19),"30"))</f>
        <v>00</v>
      </c>
      <c r="Q19" s="26" t="str">
        <f>IF(MOD(整月外場班表!Q19,1)=0,CONCATENATE(整月外場班表!Q19,"00"),CONCATENATE(INT(整月外場班表!Q19),"30"))</f>
        <v>00</v>
      </c>
      <c r="R19" s="25" t="str">
        <f>IF(MOD(整月外場班表!R19,1)=0,CONCATENATE(整月外場班表!R19,"00"),CONCATENATE(INT(整月外場班表!R19),"30"))</f>
        <v>00</v>
      </c>
      <c r="S19" s="26" t="str">
        <f>IF(MOD(整月外場班表!S19,1)=0,CONCATENATE(整月外場班表!S19,"00"),CONCATENATE(INT(整月外場班表!S19),"30"))</f>
        <v>00</v>
      </c>
      <c r="T19" s="25" t="str">
        <f>IF(MOD(整月外場班表!T19,1)=0,CONCATENATE(整月外場班表!T19,"00"),CONCATENATE(INT(整月外場班表!T19),"30"))</f>
        <v>00</v>
      </c>
      <c r="U19" s="26" t="str">
        <f>IF(MOD(整月外場班表!U19,1)=0,CONCATENATE(整月外場班表!U19,"00"),CONCATENATE(INT(整月外場班表!U19),"30"))</f>
        <v>00</v>
      </c>
      <c r="V19" s="25" t="str">
        <f>IF(MOD(整月外場班表!V19,1)=0,CONCATENATE(整月外場班表!V19,"00"),CONCATENATE(INT(整月外場班表!V19),"30"))</f>
        <v>00</v>
      </c>
      <c r="W19" s="26" t="str">
        <f>IF(MOD(整月外場班表!W19,1)=0,CONCATENATE(整月外場班表!W19,"00"),CONCATENATE(INT(整月外場班表!W19),"30"))</f>
        <v>00</v>
      </c>
      <c r="X19" s="25" t="str">
        <f>IF(MOD(整月外場班表!X19,1)=0,CONCATENATE(整月外場班表!X19,"00"),CONCATENATE(INT(整月外場班表!X19),"30"))</f>
        <v>00</v>
      </c>
      <c r="Y19" s="26" t="str">
        <f>IF(MOD(整月外場班表!Y19,1)=0,CONCATENATE(整月外場班表!Y19,"00"),CONCATENATE(INT(整月外場班表!Y19),"30"))</f>
        <v>00</v>
      </c>
      <c r="Z19" s="25" t="str">
        <f>IF(MOD(整月外場班表!Z19,1)=0,CONCATENATE(整月外場班表!Z19,"00"),CONCATENATE(INT(整月外場班表!Z19),"30"))</f>
        <v>00</v>
      </c>
      <c r="AA19" s="26" t="str">
        <f>IF(MOD(整月外場班表!AA19,1)=0,CONCATENATE(整月外場班表!AA19,"00"),CONCATENATE(INT(整月外場班表!AA19),"30"))</f>
        <v>00</v>
      </c>
      <c r="AB19" s="25" t="str">
        <f>IF(MOD(整月外場班表!AB19,1)=0,CONCATENATE(整月外場班表!AB19,"00"),CONCATENATE(INT(整月外場班表!AB19),"30"))</f>
        <v>00</v>
      </c>
      <c r="AC19" s="26" t="str">
        <f>IF(MOD(整月外場班表!AC19,1)=0,CONCATENATE(整月外場班表!AC19,"00"),CONCATENATE(INT(整月外場班表!AC19),"30"))</f>
        <v>00</v>
      </c>
      <c r="AD19" s="25" t="str">
        <f>IF(MOD(整月外場班表!AD19,1)=0,CONCATENATE(整月外場班表!AD19,"00"),CONCATENATE(INT(整月外場班表!AD19),"30"))</f>
        <v>00</v>
      </c>
      <c r="AE19" s="26" t="str">
        <f>IF(MOD(整月外場班表!AE19,1)=0,CONCATENATE(整月外場班表!AE19,"00"),CONCATENATE(INT(整月外場班表!AE19),"30"))</f>
        <v>00</v>
      </c>
      <c r="AF19" s="25" t="str">
        <f>IF(MOD(整月外場班表!AF19,1)=0,CONCATENATE(整月外場班表!AF19,"00"),CONCATENATE(INT(整月外場班表!AF19),"30"))</f>
        <v>00</v>
      </c>
      <c r="AG19" s="26" t="str">
        <f>IF(MOD(整月外場班表!AG19,1)=0,CONCATENATE(整月外場班表!AG19,"00"),CONCATENATE(INT(整月外場班表!AG19),"30"))</f>
        <v>00</v>
      </c>
      <c r="AH19" s="25" t="str">
        <f>IF(MOD(整月外場班表!AH19,1)=0,CONCATENATE(整月外場班表!AH19,"00"),CONCATENATE(INT(整月外場班表!AH19),"30"))</f>
        <v>00</v>
      </c>
      <c r="AI19" s="26" t="str">
        <f>IF(MOD(整月外場班表!AI19,1)=0,CONCATENATE(整月外場班表!AI19,"00"),CONCATENATE(INT(整月外場班表!AI19),"30"))</f>
        <v>00</v>
      </c>
      <c r="AJ19" s="25" t="str">
        <f>IF(MOD(整月外場班表!AJ19,1)=0,CONCATENATE(整月外場班表!AJ19,"00"),CONCATENATE(INT(整月外場班表!AJ19),"30"))</f>
        <v>00</v>
      </c>
      <c r="AK19" s="26" t="str">
        <f>IF(MOD(整月外場班表!AK19,1)=0,CONCATENATE(整月外場班表!AK19,"00"),CONCATENATE(INT(整月外場班表!AK19),"30"))</f>
        <v>00</v>
      </c>
      <c r="AL19" s="25" t="str">
        <f>IF(MOD(整月外場班表!AL19,1)=0,CONCATENATE(整月外場班表!AL19,"00"),CONCATENATE(INT(整月外場班表!AL19),"30"))</f>
        <v>00</v>
      </c>
      <c r="AM19" s="26" t="str">
        <f>IF(MOD(整月外場班表!AM19,1)=0,CONCATENATE(整月外場班表!AM19,"00"),CONCATENATE(INT(整月外場班表!AM19),"30"))</f>
        <v>00</v>
      </c>
      <c r="AN19" s="25" t="str">
        <f>IF(MOD(整月外場班表!AN19,1)=0,CONCATENATE(整月外場班表!AN19,"00"),CONCATENATE(INT(整月外場班表!AN19),"30"))</f>
        <v>00</v>
      </c>
      <c r="AO19" s="26" t="str">
        <f>IF(MOD(整月外場班表!AO19,1)=0,CONCATENATE(整月外場班表!AO19,"00"),CONCATENATE(INT(整月外場班表!AO19),"30"))</f>
        <v>00</v>
      </c>
      <c r="AP19" s="25" t="str">
        <f>IF(MOD(整月外場班表!AP19,1)=0,CONCATENATE(整月外場班表!AP19,"00"),CONCATENATE(INT(整月外場班表!AP19),"30"))</f>
        <v>00</v>
      </c>
      <c r="AQ19" s="26" t="str">
        <f>IF(MOD(整月外場班表!AQ19,1)=0,CONCATENATE(整月外場班表!AQ19,"00"),CONCATENATE(INT(整月外場班表!AQ19),"30"))</f>
        <v>00</v>
      </c>
      <c r="AR19" s="25" t="str">
        <f>IF(MOD(整月外場班表!AR19,1)=0,CONCATENATE(整月外場班表!AR19,"00"),CONCATENATE(INT(整月外場班表!AR19),"30"))</f>
        <v>00</v>
      </c>
      <c r="AS19" s="26" t="str">
        <f>IF(MOD(整月外場班表!AS19,1)=0,CONCATENATE(整月外場班表!AS19,"00"),CONCATENATE(INT(整月外場班表!AS19),"30"))</f>
        <v>00</v>
      </c>
      <c r="AT19" s="25" t="str">
        <f>IF(MOD(整月外場班表!AT19,1)=0,CONCATENATE(整月外場班表!AT19,"00"),CONCATENATE(INT(整月外場班表!AT19),"30"))</f>
        <v>00</v>
      </c>
      <c r="AU19" s="26" t="str">
        <f>IF(MOD(整月外場班表!AU19,1)=0,CONCATENATE(整月外場班表!AU19,"00"),CONCATENATE(INT(整月外場班表!AU19),"30"))</f>
        <v>00</v>
      </c>
      <c r="AV19" s="25" t="str">
        <f>IF(MOD(整月外場班表!AV19,1)=0,CONCATENATE(整月外場班表!AV19,"00"),CONCATENATE(INT(整月外場班表!AV19),"30"))</f>
        <v>00</v>
      </c>
      <c r="AW19" s="26" t="str">
        <f>IF(MOD(整月外場班表!AW19,1)=0,CONCATENATE(整月外場班表!AW19,"00"),CONCATENATE(INT(整月外場班表!AW19),"30"))</f>
        <v>00</v>
      </c>
      <c r="AX19" s="25" t="str">
        <f>IF(MOD(整月外場班表!AX19,1)=0,CONCATENATE(整月外場班表!AX19,"00"),CONCATENATE(INT(整月外場班表!AX19),"30"))</f>
        <v>00</v>
      </c>
      <c r="AY19" s="26" t="str">
        <f>IF(MOD(整月外場班表!AY19,1)=0,CONCATENATE(整月外場班表!AY19,"00"),CONCATENATE(INT(整月外場班表!AY19),"30"))</f>
        <v>00</v>
      </c>
      <c r="AZ19" s="25" t="str">
        <f>IF(MOD(整月外場班表!AZ19,1)=0,CONCATENATE(整月外場班表!AZ19,"00"),CONCATENATE(INT(整月外場班表!AZ19),"30"))</f>
        <v>00</v>
      </c>
      <c r="BA19" s="26" t="str">
        <f>IF(MOD(整月外場班表!BA19,1)=0,CONCATENATE(整月外場班表!BA19,"00"),CONCATENATE(INT(整月外場班表!BA19),"30"))</f>
        <v>00</v>
      </c>
      <c r="BB19" s="25" t="str">
        <f>IF(MOD(整月外場班表!BB19,1)=0,CONCATENATE(整月外場班表!BB19,"00"),CONCATENATE(INT(整月外場班表!BB19),"30"))</f>
        <v>00</v>
      </c>
      <c r="BC19" s="26" t="str">
        <f>IF(MOD(整月外場班表!BC19,1)=0,CONCATENATE(整月外場班表!BC19,"00"),CONCATENATE(INT(整月外場班表!BC19),"30"))</f>
        <v>00</v>
      </c>
      <c r="BD19" s="25" t="str">
        <f>IF(MOD(整月外場班表!BD19,1)=0,CONCATENATE(整月外場班表!BD19,"00"),CONCATENATE(INT(整月外場班表!BD19),"30"))</f>
        <v>00</v>
      </c>
      <c r="BE19" s="26" t="str">
        <f>IF(MOD(整月外場班表!BE19,1)=0,CONCATENATE(整月外場班表!BE19,"00"),CONCATENATE(INT(整月外場班表!BE19),"30"))</f>
        <v>00</v>
      </c>
      <c r="BF19" s="25" t="str">
        <f>IF(MOD(整月外場班表!BF19,1)=0,CONCATENATE(整月外場班表!BF19,"00"),CONCATENATE(INT(整月外場班表!BF19),"30"))</f>
        <v>00</v>
      </c>
      <c r="BG19" s="26" t="str">
        <f>IF(MOD(整月外場班表!BG19,1)=0,CONCATENATE(整月外場班表!BG19,"00"),CONCATENATE(INT(整月外場班表!BG19),"30"))</f>
        <v>00</v>
      </c>
      <c r="BH19" s="25" t="str">
        <f>IF(MOD(整月外場班表!BH19,1)=0,CONCATENATE(整月外場班表!BH19,"00"),CONCATENATE(INT(整月外場班表!BH19),"30"))</f>
        <v>00</v>
      </c>
      <c r="BI19" s="26" t="str">
        <f>IF(MOD(整月外場班表!BI19,1)=0,CONCATENATE(整月外場班表!BI19,"00"),CONCATENATE(INT(整月外場班表!BI19),"30"))</f>
        <v>00</v>
      </c>
      <c r="BJ19" s="25" t="str">
        <f>IF(MOD(整月外場班表!BJ19,1)=0,CONCATENATE(整月外場班表!BJ19,"00"),CONCATENATE(INT(整月外場班表!BJ19),"30"))</f>
        <v>00</v>
      </c>
      <c r="BK19" s="26" t="str">
        <f>IF(MOD(整月外場班表!BK19,1)=0,CONCATENATE(整月外場班表!BK19,"00"),CONCATENATE(INT(整月外場班表!BK19),"30"))</f>
        <v>00</v>
      </c>
      <c r="BL19" s="25" t="str">
        <f>IF(MOD(整月外場班表!BL19,1)=0,CONCATENATE(整月外場班表!BL19,"00"),CONCATENATE(INT(整月外場班表!BL19),"30"))</f>
        <v>00</v>
      </c>
      <c r="BM19" s="26" t="str">
        <f>IF(MOD(整月外場班表!BM19,1)=0,CONCATENATE(整月外場班表!BM19,"00"),CONCATENATE(INT(整月外場班表!BM19),"30"))</f>
        <v>00</v>
      </c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ht="40" customHeight="1" thickBot="1">
      <c r="A20" s="47"/>
      <c r="B20" s="84"/>
      <c r="C20" s="95"/>
      <c r="D20" s="104" t="str" cm="1">
        <f t="array" ref="D20">_xlfn.IFS(AND(D18="00",D19="00"),";H",AND(D18&lt;&gt;"00",D19&lt;&gt;"00"),CONCATENATE(D18,"-",E19,"(",E18,"-",D19,")"),AND(D18="00",D19&lt;&gt;"00"),CONCATENATE(D19,"-",E19),AND(D18&lt;&gt;"00",D19="00"),CONCATENATE(D18,"-",E18))</f>
        <v>;H</v>
      </c>
      <c r="E20" s="105"/>
      <c r="F20" s="104" t="str" cm="1">
        <f t="array" ref="F20">_xlfn.IFS(AND(F18="00",F19="00"),";H",AND(F18&lt;&gt;"00",F19&lt;&gt;"00"),CONCATENATE(F18,"-",G19,"(",G18,"-",F19,")"),AND(F18="00",F19&lt;&gt;"00"),CONCATENATE(F19,"-",G19),AND(F18&lt;&gt;"00",F19="00"),CONCATENATE(F18,"-",G18))</f>
        <v>;H</v>
      </c>
      <c r="G20" s="105"/>
      <c r="H20" s="104" t="str" cm="1">
        <f t="array" ref="H20">_xlfn.IFS(AND(H18="00",H19="00"),";H",AND(H18&lt;&gt;"00",H19&lt;&gt;"00"),CONCATENATE(H18,"-",I19,"(",I18,"-",H19,")"),AND(H18="00",H19&lt;&gt;"00"),CONCATENATE(H19,"-",I19),AND(H18&lt;&gt;"00",H19="00"),CONCATENATE(H18,"-",I18))</f>
        <v>;H</v>
      </c>
      <c r="I20" s="105"/>
      <c r="J20" s="104" t="str" cm="1">
        <f t="array" ref="J20">_xlfn.IFS(AND(J18="00",J19="00"),";H",AND(J18&lt;&gt;"00",J19&lt;&gt;"00"),CONCATENATE(J18,"-",K19,"(",K18,"-",J19,")"),AND(J18="00",J19&lt;&gt;"00"),CONCATENATE(J19,"-",K19),AND(J18&lt;&gt;"00",J19="00"),CONCATENATE(J18,"-",K18))</f>
        <v>;H</v>
      </c>
      <c r="K20" s="105"/>
      <c r="L20" s="104" t="str" cm="1">
        <f t="array" ref="L20">_xlfn.IFS(AND(L18="00",L19="00"),";H",AND(L18&lt;&gt;"00",L19&lt;&gt;"00"),CONCATENATE(L18,"-",M19,"(",M18,"-",L19,")"),AND(L18="00",L19&lt;&gt;"00"),CONCATENATE(L19,"-",M19),AND(L18&lt;&gt;"00",L19="00"),CONCATENATE(L18,"-",M18))</f>
        <v>;H</v>
      </c>
      <c r="M20" s="105"/>
      <c r="N20" s="104" t="str" cm="1">
        <f t="array" ref="N20">_xlfn.IFS(AND(N18="00",N19="00"),";H",AND(N18&lt;&gt;"00",N19&lt;&gt;"00"),CONCATENATE(N18,"-",O19,"(",O18,"-",N19,")"),AND(N18="00",N19&lt;&gt;"00"),CONCATENATE(N19,"-",O19),AND(N18&lt;&gt;"00",N19="00"),CONCATENATE(N18,"-",O18))</f>
        <v>;H</v>
      </c>
      <c r="O20" s="105"/>
      <c r="P20" s="104" t="str" cm="1">
        <f t="array" ref="P20">_xlfn.IFS(AND(P18="00",P19="00"),";H",AND(P18&lt;&gt;"00",P19&lt;&gt;"00"),CONCATENATE(P18,"-",Q19,"(",Q18,"-",P19,")"),AND(P18="00",P19&lt;&gt;"00"),CONCATENATE(P19,"-",Q19),AND(P18&lt;&gt;"00",P19="00"),CONCATENATE(P18,"-",Q18))</f>
        <v>;H</v>
      </c>
      <c r="Q20" s="105"/>
      <c r="R20" s="104" t="str" cm="1">
        <f t="array" ref="R20">_xlfn.IFS(AND(R18="00",R19="00"),";H",AND(R18&lt;&gt;"00",R19&lt;&gt;"00"),CONCATENATE(R18,"-",S19,"(",S18,"-",R19,")"),AND(R18="00",R19&lt;&gt;"00"),CONCATENATE(R19,"-",S19),AND(R18&lt;&gt;"00",R19="00"),CONCATENATE(R18,"-",S18))</f>
        <v>;H</v>
      </c>
      <c r="S20" s="105"/>
      <c r="T20" s="104" t="str" cm="1">
        <f t="array" ref="T20">_xlfn.IFS(AND(T18="00",T19="00"),";H",AND(T18&lt;&gt;"00",T19&lt;&gt;"00"),CONCATENATE(T18,"-",U19,"(",U18,"-",T19,")"),AND(T18="00",T19&lt;&gt;"00"),CONCATENATE(T19,"-",U19),AND(T18&lt;&gt;"00",T19="00"),CONCATENATE(T18,"-",U18))</f>
        <v>;H</v>
      </c>
      <c r="U20" s="105"/>
      <c r="V20" s="104" t="str" cm="1">
        <f t="array" ref="V20">_xlfn.IFS(AND(V18="00",V19="00"),";H",AND(V18&lt;&gt;"00",V19&lt;&gt;"00"),CONCATENATE(V18,"-",W19,"(",W18,"-",V19,")"),AND(V18="00",V19&lt;&gt;"00"),CONCATENATE(V19,"-",W19),AND(V18&lt;&gt;"00",V19="00"),CONCATENATE(V18,"-",W18))</f>
        <v>;H</v>
      </c>
      <c r="W20" s="105"/>
      <c r="X20" s="104" t="str" cm="1">
        <f t="array" ref="X20">_xlfn.IFS(AND(X18="00",X19="00"),";H",AND(X18&lt;&gt;"00",X19&lt;&gt;"00"),CONCATENATE(X18,"-",Y19,"(",Y18,"-",X19,")"),AND(X18="00",X19&lt;&gt;"00"),CONCATENATE(X19,"-",Y19),AND(X18&lt;&gt;"00",X19="00"),CONCATENATE(X18,"-",Y18))</f>
        <v>;H</v>
      </c>
      <c r="Y20" s="105"/>
      <c r="Z20" s="104" t="str" cm="1">
        <f t="array" ref="Z20">_xlfn.IFS(AND(Z18="00",Z19="00"),";H",AND(Z18&lt;&gt;"00",Z19&lt;&gt;"00"),CONCATENATE(Z18,"-",AA19,"(",AA18,"-",Z19,")"),AND(Z18="00",Z19&lt;&gt;"00"),CONCATENATE(Z19,"-",AA19),AND(Z18&lt;&gt;"00",Z19="00"),CONCATENATE(Z18,"-",AA18))</f>
        <v>;H</v>
      </c>
      <c r="AA20" s="105"/>
      <c r="AB20" s="104" t="str" cm="1">
        <f t="array" ref="AB20">_xlfn.IFS(AND(AB18="00",AB19="00"),";H",AND(AB18&lt;&gt;"00",AB19&lt;&gt;"00"),CONCATENATE(AB18,"-",AC19,"(",AC18,"-",AB19,")"),AND(AB18="00",AB19&lt;&gt;"00"),CONCATENATE(AB19,"-",AC19),AND(AB18&lt;&gt;"00",AB19="00"),CONCATENATE(AB18,"-",AC18))</f>
        <v>;H</v>
      </c>
      <c r="AC20" s="105"/>
      <c r="AD20" s="104" t="str" cm="1">
        <f t="array" ref="AD20">_xlfn.IFS(AND(AD18="00",AD19="00"),";H",AND(AD18&lt;&gt;"00",AD19&lt;&gt;"00"),CONCATENATE(AD18,"-",AE19,"(",AE18,"-",AD19,")"),AND(AD18="00",AD19&lt;&gt;"00"),CONCATENATE(AD19,"-",AE19),AND(AD18&lt;&gt;"00",AD19="00"),CONCATENATE(AD18,"-",AE18))</f>
        <v>;H</v>
      </c>
      <c r="AE20" s="105"/>
      <c r="AF20" s="104" t="str" cm="1">
        <f t="array" ref="AF20">_xlfn.IFS(AND(AF18="00",AF19="00"),";H",AND(AF18&lt;&gt;"00",AF19&lt;&gt;"00"),CONCATENATE(AF18,"-",AG19,"(",AG18,"-",AF19,")"),AND(AF18="00",AF19&lt;&gt;"00"),CONCATENATE(AF19,"-",AG19),AND(AF18&lt;&gt;"00",AF19="00"),CONCATENATE(AF18,"-",AG18))</f>
        <v>;H</v>
      </c>
      <c r="AG20" s="105"/>
      <c r="AH20" s="104" t="str" cm="1">
        <f t="array" ref="AH20">_xlfn.IFS(AND(AH18="00",AH19="00"),";H",AND(AH18&lt;&gt;"00",AH19&lt;&gt;"00"),CONCATENATE(AH18,"-",AI19,"(",AI18,"-",AH19,")"),AND(AH18="00",AH19&lt;&gt;"00"),CONCATENATE(AH19,"-",AI19),AND(AH18&lt;&gt;"00",AH19="00"),CONCATENATE(AH18,"-",AI18))</f>
        <v>;H</v>
      </c>
      <c r="AI20" s="105"/>
      <c r="AJ20" s="104" t="str" cm="1">
        <f t="array" ref="AJ20">_xlfn.IFS(AND(AJ18="00",AJ19="00"),";H",AND(AJ18&lt;&gt;"00",AJ19&lt;&gt;"00"),CONCATENATE(AJ18,"-",AK19,"(",AK18,"-",AJ19,")"),AND(AJ18="00",AJ19&lt;&gt;"00"),CONCATENATE(AJ19,"-",AK19),AND(AJ18&lt;&gt;"00",AJ19="00"),CONCATENATE(AJ18,"-",AK18))</f>
        <v>;H</v>
      </c>
      <c r="AK20" s="105"/>
      <c r="AL20" s="104" t="str" cm="1">
        <f t="array" ref="AL20">_xlfn.IFS(AND(AL18="00",AL19="00"),";H",AND(AL18&lt;&gt;"00",AL19&lt;&gt;"00"),CONCATENATE(AL18,"-",AM19,"(",AM18,"-",AL19,")"),AND(AL18="00",AL19&lt;&gt;"00"),CONCATENATE(AL19,"-",AM19),AND(AL18&lt;&gt;"00",AL19="00"),CONCATENATE(AL18,"-",AM18))</f>
        <v>;H</v>
      </c>
      <c r="AM20" s="105"/>
      <c r="AN20" s="104" t="str" cm="1">
        <f t="array" ref="AN20">_xlfn.IFS(AND(AN18="00",AN19="00"),";H",AND(AN18&lt;&gt;"00",AN19&lt;&gt;"00"),CONCATENATE(AN18,"-",AO19,"(",AO18,"-",AN19,")"),AND(AN18="00",AN19&lt;&gt;"00"),CONCATENATE(AN19,"-",AO19),AND(AN18&lt;&gt;"00",AN19="00"),CONCATENATE(AN18,"-",AO18))</f>
        <v>;H</v>
      </c>
      <c r="AO20" s="105"/>
      <c r="AP20" s="104" t="str" cm="1">
        <f t="array" ref="AP20">_xlfn.IFS(AND(AP18="00",AP19="00"),";H",AND(AP18&lt;&gt;"00",AP19&lt;&gt;"00"),CONCATENATE(AP18,"-",AQ19,"(",AQ18,"-",AP19,")"),AND(AP18="00",AP19&lt;&gt;"00"),CONCATENATE(AP19,"-",AQ19),AND(AP18&lt;&gt;"00",AP19="00"),CONCATENATE(AP18,"-",AQ18))</f>
        <v>;H</v>
      </c>
      <c r="AQ20" s="105"/>
      <c r="AR20" s="104" t="str" cm="1">
        <f t="array" ref="AR20">_xlfn.IFS(AND(AR18="00",AR19="00"),";H",AND(AR18&lt;&gt;"00",AR19&lt;&gt;"00"),CONCATENATE(AR18,"-",AS19,"(",AS18,"-",AR19,")"),AND(AR18="00",AR19&lt;&gt;"00"),CONCATENATE(AR19,"-",AS19),AND(AR18&lt;&gt;"00",AR19="00"),CONCATENATE(AR18,"-",AS18))</f>
        <v>;H</v>
      </c>
      <c r="AS20" s="105"/>
      <c r="AT20" s="104" t="str" cm="1">
        <f t="array" ref="AT20">_xlfn.IFS(AND(AT18="00",AT19="00"),";H",AND(AT18&lt;&gt;"00",AT19&lt;&gt;"00"),CONCATENATE(AT18,"-",AU19,"(",AU18,"-",AT19,")"),AND(AT18="00",AT19&lt;&gt;"00"),CONCATENATE(AT19,"-",AU19),AND(AT18&lt;&gt;"00",AT19="00"),CONCATENATE(AT18,"-",AU18))</f>
        <v>;H</v>
      </c>
      <c r="AU20" s="105"/>
      <c r="AV20" s="104" t="str" cm="1">
        <f t="array" ref="AV20">_xlfn.IFS(AND(AV18="00",AV19="00"),";H",AND(AV18&lt;&gt;"00",AV19&lt;&gt;"00"),CONCATENATE(AV18,"-",AW19,"(",AW18,"-",AV19,")"),AND(AV18="00",AV19&lt;&gt;"00"),CONCATENATE(AV19,"-",AW19),AND(AV18&lt;&gt;"00",AV19="00"),CONCATENATE(AV18,"-",AW18))</f>
        <v>;H</v>
      </c>
      <c r="AW20" s="105"/>
      <c r="AX20" s="104" t="str" cm="1">
        <f t="array" ref="AX20">_xlfn.IFS(AND(AX18="00",AX19="00"),";H",AND(AX18&lt;&gt;"00",AX19&lt;&gt;"00"),CONCATENATE(AX18,"-",AY19,"(",AY18,"-",AX19,")"),AND(AX18="00",AX19&lt;&gt;"00"),CONCATENATE(AX19,"-",AY19),AND(AX18&lt;&gt;"00",AX19="00"),CONCATENATE(AX18,"-",AY18))</f>
        <v>;H</v>
      </c>
      <c r="AY20" s="105"/>
      <c r="AZ20" s="104" t="str" cm="1">
        <f t="array" ref="AZ20">_xlfn.IFS(AND(AZ18="00",AZ19="00"),";H",AND(AZ18&lt;&gt;"00",AZ19&lt;&gt;"00"),CONCATENATE(AZ18,"-",BA19,"(",BA18,"-",AZ19,")"),AND(AZ18="00",AZ19&lt;&gt;"00"),CONCATENATE(AZ19,"-",BA19),AND(AZ18&lt;&gt;"00",AZ19="00"),CONCATENATE(AZ18,"-",BA18))</f>
        <v>;H</v>
      </c>
      <c r="BA20" s="105"/>
      <c r="BB20" s="104" t="str" cm="1">
        <f t="array" ref="BB20">_xlfn.IFS(AND(BB18="00",BB19="00"),";H",AND(BB18&lt;&gt;"00",BB19&lt;&gt;"00"),CONCATENATE(BB18,"-",BC19,"(",BC18,"-",BB19,")"),AND(BB18="00",BB19&lt;&gt;"00"),CONCATENATE(BB19,"-",BC19),AND(BB18&lt;&gt;"00",BB19="00"),CONCATENATE(BB18,"-",BC18))</f>
        <v>;H</v>
      </c>
      <c r="BC20" s="105"/>
      <c r="BD20" s="104" t="str" cm="1">
        <f t="array" ref="BD20">_xlfn.IFS(AND(BD18="00",BD19="00"),";H",AND(BD18&lt;&gt;"00",BD19&lt;&gt;"00"),CONCATENATE(BD18,"-",BE19,"(",BE18,"-",BD19,")"),AND(BD18="00",BD19&lt;&gt;"00"),CONCATENATE(BD19,"-",BE19),AND(BD18&lt;&gt;"00",BD19="00"),CONCATENATE(BD18,"-",BE18))</f>
        <v>;H</v>
      </c>
      <c r="BE20" s="105"/>
      <c r="BF20" s="104" t="str" cm="1">
        <f t="array" ref="BF20">_xlfn.IFS(AND(BF18="00",BF19="00"),";H",AND(BF18&lt;&gt;"00",BF19&lt;&gt;"00"),CONCATENATE(BF18,"-",BG19,"(",BG18,"-",BF19,")"),AND(BF18="00",BF19&lt;&gt;"00"),CONCATENATE(BF19,"-",BG19),AND(BF18&lt;&gt;"00",BF19="00"),CONCATENATE(BF18,"-",BG18))</f>
        <v>;H</v>
      </c>
      <c r="BG20" s="105"/>
      <c r="BH20" s="104" t="str" cm="1">
        <f t="array" ref="BH20">_xlfn.IFS(AND(BH18="00",BH19="00"),";H",AND(BH18&lt;&gt;"00",BH19&lt;&gt;"00"),CONCATENATE(BH18,"-",BI19,"(",BI18,"-",BH19,")"),AND(BH18="00",BH19&lt;&gt;"00"),CONCATENATE(BH19,"-",BI19),AND(BH18&lt;&gt;"00",BH19="00"),CONCATENATE(BH18,"-",BI18))</f>
        <v>;H</v>
      </c>
      <c r="BI20" s="105"/>
      <c r="BJ20" s="104" t="str" cm="1">
        <f t="array" ref="BJ20">_xlfn.IFS(AND(BJ18="00",BJ19="00"),";H",AND(BJ18&lt;&gt;"00",BJ19&lt;&gt;"00"),CONCATENATE(BJ18,"-",BK19,"(",BK18,"-",BJ19,")"),AND(BJ18="00",BJ19&lt;&gt;"00"),CONCATENATE(BJ19,"-",BK19),AND(BJ18&lt;&gt;"00",BJ19="00"),CONCATENATE(BJ18,"-",BK18))</f>
        <v>;H</v>
      </c>
      <c r="BK20" s="105"/>
      <c r="BL20" s="104" t="str" cm="1">
        <f t="array" ref="BL20">_xlfn.IFS(AND(BL18="00",BL19="00"),";H",AND(BL18&lt;&gt;"00",BL19&lt;&gt;"00"),CONCATENATE(BL18,"-",BM19,"(",BM18,"-",BL19,")"),AND(BL18="00",BL19&lt;&gt;"00"),CONCATENATE(BL19,"-",BM19),AND(BL18&lt;&gt;"00",BL19="00"),CONCATENATE(BL18,"-",BM18))</f>
        <v>;H</v>
      </c>
      <c r="BM20" s="105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ht="15" thickBot="1">
      <c r="A21" s="83"/>
      <c r="B21" s="145">
        <f>整月外場班表!B21</f>
        <v>0</v>
      </c>
      <c r="C21" s="93"/>
      <c r="D21" s="23" t="str">
        <f>IF(MOD(整月外場班表!D21,1)=0,CONCATENATE(整月外場班表!D21,"00"),CONCATENATE(INT(整月外場班表!D21),"30"))</f>
        <v>00</v>
      </c>
      <c r="E21" s="24" t="str">
        <f>IF(MOD(整月外場班表!E21,1)=0,CONCATENATE(整月外場班表!E21,"00"),CONCATENATE(INT(整月外場班表!E21),"30"))</f>
        <v>00</v>
      </c>
      <c r="F21" s="23" t="str">
        <f>IF(MOD(整月外場班表!F21,1)=0,CONCATENATE(整月外場班表!F21,"00"),CONCATENATE(INT(整月外場班表!F21),"30"))</f>
        <v>00</v>
      </c>
      <c r="G21" s="24" t="str">
        <f>IF(MOD(整月外場班表!G21,1)=0,CONCATENATE(整月外場班表!G21,"00"),CONCATENATE(INT(整月外場班表!G21),"30"))</f>
        <v>00</v>
      </c>
      <c r="H21" s="23" t="str">
        <f>IF(MOD(整月外場班表!H21,1)=0,CONCATENATE(整月外場班表!H21,"00"),CONCATENATE(INT(整月外場班表!H21),"30"))</f>
        <v>00</v>
      </c>
      <c r="I21" s="24" t="str">
        <f>IF(MOD(整月外場班表!I21,1)=0,CONCATENATE(整月外場班表!I21,"00"),CONCATENATE(INT(整月外場班表!I21),"30"))</f>
        <v>00</v>
      </c>
      <c r="J21" s="23" t="str">
        <f>IF(MOD(整月外場班表!J21,1)=0,CONCATENATE(整月外場班表!J21,"00"),CONCATENATE(INT(整月外場班表!J21),"30"))</f>
        <v>00</v>
      </c>
      <c r="K21" s="24" t="str">
        <f>IF(MOD(整月外場班表!K21,1)=0,CONCATENATE(整月外場班表!K21,"00"),CONCATENATE(INT(整月外場班表!K21),"30"))</f>
        <v>00</v>
      </c>
      <c r="L21" s="23" t="str">
        <f>IF(MOD(整月外場班表!L21,1)=0,CONCATENATE(整月外場班表!L21,"00"),CONCATENATE(INT(整月外場班表!L21),"30"))</f>
        <v>00</v>
      </c>
      <c r="M21" s="24" t="str">
        <f>IF(MOD(整月外場班表!M21,1)=0,CONCATENATE(整月外場班表!M21,"00"),CONCATENATE(INT(整月外場班表!M21),"30"))</f>
        <v>00</v>
      </c>
      <c r="N21" s="23" t="str">
        <f>IF(MOD(整月外場班表!N21,1)=0,CONCATENATE(整月外場班表!N21,"00"),CONCATENATE(INT(整月外場班表!N21),"30"))</f>
        <v>00</v>
      </c>
      <c r="O21" s="24" t="str">
        <f>IF(MOD(整月外場班表!O21,1)=0,CONCATENATE(整月外場班表!O21,"00"),CONCATENATE(INT(整月外場班表!O21),"30"))</f>
        <v>00</v>
      </c>
      <c r="P21" s="23" t="str">
        <f>IF(MOD(整月外場班表!P21,1)=0,CONCATENATE(整月外場班表!P21,"00"),CONCATENATE(INT(整月外場班表!P21),"30"))</f>
        <v>00</v>
      </c>
      <c r="Q21" s="24" t="str">
        <f>IF(MOD(整月外場班表!Q21,1)=0,CONCATENATE(整月外場班表!Q21,"00"),CONCATENATE(INT(整月外場班表!Q21),"30"))</f>
        <v>00</v>
      </c>
      <c r="R21" s="23" t="str">
        <f>IF(MOD(整月外場班表!R21,1)=0,CONCATENATE(整月外場班表!R21,"00"),CONCATENATE(INT(整月外場班表!R21),"30"))</f>
        <v>00</v>
      </c>
      <c r="S21" s="24" t="str">
        <f>IF(MOD(整月外場班表!S21,1)=0,CONCATENATE(整月外場班表!S21,"00"),CONCATENATE(INT(整月外場班表!S21),"30"))</f>
        <v>00</v>
      </c>
      <c r="T21" s="23" t="str">
        <f>IF(MOD(整月外場班表!T21,1)=0,CONCATENATE(整月外場班表!T21,"00"),CONCATENATE(INT(整月外場班表!T21),"30"))</f>
        <v>00</v>
      </c>
      <c r="U21" s="24" t="str">
        <f>IF(MOD(整月外場班表!U21,1)=0,CONCATENATE(整月外場班表!U21,"00"),CONCATENATE(INT(整月外場班表!U21),"30"))</f>
        <v>00</v>
      </c>
      <c r="V21" s="23" t="str">
        <f>IF(MOD(整月外場班表!V21,1)=0,CONCATENATE(整月外場班表!V21,"00"),CONCATENATE(INT(整月外場班表!V21),"30"))</f>
        <v>00</v>
      </c>
      <c r="W21" s="24" t="str">
        <f>IF(MOD(整月外場班表!W21,1)=0,CONCATENATE(整月外場班表!W21,"00"),CONCATENATE(INT(整月外場班表!W21),"30"))</f>
        <v>00</v>
      </c>
      <c r="X21" s="23" t="str">
        <f>IF(MOD(整月外場班表!X21,1)=0,CONCATENATE(整月外場班表!X21,"00"),CONCATENATE(INT(整月外場班表!X21),"30"))</f>
        <v>00</v>
      </c>
      <c r="Y21" s="24" t="str">
        <f>IF(MOD(整月外場班表!Y21,1)=0,CONCATENATE(整月外場班表!Y21,"00"),CONCATENATE(INT(整月外場班表!Y21),"30"))</f>
        <v>00</v>
      </c>
      <c r="Z21" s="23" t="str">
        <f>IF(MOD(整月外場班表!Z21,1)=0,CONCATENATE(整月外場班表!Z21,"00"),CONCATENATE(INT(整月外場班表!Z21),"30"))</f>
        <v>00</v>
      </c>
      <c r="AA21" s="24" t="str">
        <f>IF(MOD(整月外場班表!AA21,1)=0,CONCATENATE(整月外場班表!AA21,"00"),CONCATENATE(INT(整月外場班表!AA21),"30"))</f>
        <v>00</v>
      </c>
      <c r="AB21" s="23" t="str">
        <f>IF(MOD(整月外場班表!AB21,1)=0,CONCATENATE(整月外場班表!AB21,"00"),CONCATENATE(INT(整月外場班表!AB21),"30"))</f>
        <v>00</v>
      </c>
      <c r="AC21" s="24" t="str">
        <f>IF(MOD(整月外場班表!AC21,1)=0,CONCATENATE(整月外場班表!AC21,"00"),CONCATENATE(INT(整月外場班表!AC21),"30"))</f>
        <v>00</v>
      </c>
      <c r="AD21" s="23" t="str">
        <f>IF(MOD(整月外場班表!AD21,1)=0,CONCATENATE(整月外場班表!AD21,"00"),CONCATENATE(INT(整月外場班表!AD21),"30"))</f>
        <v>00</v>
      </c>
      <c r="AE21" s="24" t="str">
        <f>IF(MOD(整月外場班表!AE21,1)=0,CONCATENATE(整月外場班表!AE21,"00"),CONCATENATE(INT(整月外場班表!AE21),"30"))</f>
        <v>00</v>
      </c>
      <c r="AF21" s="23" t="str">
        <f>IF(MOD(整月外場班表!AF21,1)=0,CONCATENATE(整月外場班表!AF21,"00"),CONCATENATE(INT(整月外場班表!AF21),"30"))</f>
        <v>00</v>
      </c>
      <c r="AG21" s="24" t="str">
        <f>IF(MOD(整月外場班表!AG21,1)=0,CONCATENATE(整月外場班表!AG21,"00"),CONCATENATE(INT(整月外場班表!AG21),"30"))</f>
        <v>00</v>
      </c>
      <c r="AH21" s="23" t="str">
        <f>IF(MOD(整月外場班表!AH21,1)=0,CONCATENATE(整月外場班表!AH21,"00"),CONCATENATE(INT(整月外場班表!AH21),"30"))</f>
        <v>00</v>
      </c>
      <c r="AI21" s="24" t="str">
        <f>IF(MOD(整月外場班表!AI21,1)=0,CONCATENATE(整月外場班表!AI21,"00"),CONCATENATE(INT(整月外場班表!AI21),"30"))</f>
        <v>00</v>
      </c>
      <c r="AJ21" s="23" t="str">
        <f>IF(MOD(整月外場班表!AJ21,1)=0,CONCATENATE(整月外場班表!AJ21,"00"),CONCATENATE(INT(整月外場班表!AJ21),"30"))</f>
        <v>00</v>
      </c>
      <c r="AK21" s="24" t="str">
        <f>IF(MOD(整月外場班表!AK21,1)=0,CONCATENATE(整月外場班表!AK21,"00"),CONCATENATE(INT(整月外場班表!AK21),"30"))</f>
        <v>00</v>
      </c>
      <c r="AL21" s="23" t="str">
        <f>IF(MOD(整月外場班表!AL21,1)=0,CONCATENATE(整月外場班表!AL21,"00"),CONCATENATE(INT(整月外場班表!AL21),"30"))</f>
        <v>00</v>
      </c>
      <c r="AM21" s="24" t="str">
        <f>IF(MOD(整月外場班表!AM21,1)=0,CONCATENATE(整月外場班表!AM21,"00"),CONCATENATE(INT(整月外場班表!AM21),"30"))</f>
        <v>00</v>
      </c>
      <c r="AN21" s="23" t="str">
        <f>IF(MOD(整月外場班表!AN21,1)=0,CONCATENATE(整月外場班表!AN21,"00"),CONCATENATE(INT(整月外場班表!AN21),"30"))</f>
        <v>00</v>
      </c>
      <c r="AO21" s="24" t="str">
        <f>IF(MOD(整月外場班表!AO21,1)=0,CONCATENATE(整月外場班表!AO21,"00"),CONCATENATE(INT(整月外場班表!AO21),"30"))</f>
        <v>00</v>
      </c>
      <c r="AP21" s="23" t="str">
        <f>IF(MOD(整月外場班表!AP21,1)=0,CONCATENATE(整月外場班表!AP21,"00"),CONCATENATE(INT(整月外場班表!AP21),"30"))</f>
        <v>00</v>
      </c>
      <c r="AQ21" s="24" t="str">
        <f>IF(MOD(整月外場班表!AQ21,1)=0,CONCATENATE(整月外場班表!AQ21,"00"),CONCATENATE(INT(整月外場班表!AQ21),"30"))</f>
        <v>00</v>
      </c>
      <c r="AR21" s="23" t="str">
        <f>IF(MOD(整月外場班表!AR21,1)=0,CONCATENATE(整月外場班表!AR21,"00"),CONCATENATE(INT(整月外場班表!AR21),"30"))</f>
        <v>00</v>
      </c>
      <c r="AS21" s="24" t="str">
        <f>IF(MOD(整月外場班表!AS21,1)=0,CONCATENATE(整月外場班表!AS21,"00"),CONCATENATE(INT(整月外場班表!AS21),"30"))</f>
        <v>00</v>
      </c>
      <c r="AT21" s="23" t="str">
        <f>IF(MOD(整月外場班表!AT21,1)=0,CONCATENATE(整月外場班表!AT21,"00"),CONCATENATE(INT(整月外場班表!AT21),"30"))</f>
        <v>00</v>
      </c>
      <c r="AU21" s="24" t="str">
        <f>IF(MOD(整月外場班表!AU21,1)=0,CONCATENATE(整月外場班表!AU21,"00"),CONCATENATE(INT(整月外場班表!AU21),"30"))</f>
        <v>00</v>
      </c>
      <c r="AV21" s="23" t="str">
        <f>IF(MOD(整月外場班表!AV21,1)=0,CONCATENATE(整月外場班表!AV21,"00"),CONCATENATE(INT(整月外場班表!AV21),"30"))</f>
        <v>00</v>
      </c>
      <c r="AW21" s="24" t="str">
        <f>IF(MOD(整月外場班表!AW21,1)=0,CONCATENATE(整月外場班表!AW21,"00"),CONCATENATE(INT(整月外場班表!AW21),"30"))</f>
        <v>00</v>
      </c>
      <c r="AX21" s="23" t="str">
        <f>IF(MOD(整月外場班表!AX21,1)=0,CONCATENATE(整月外場班表!AX21,"00"),CONCATENATE(INT(整月外場班表!AX21),"30"))</f>
        <v>00</v>
      </c>
      <c r="AY21" s="24" t="str">
        <f>IF(MOD(整月外場班表!AY21,1)=0,CONCATENATE(整月外場班表!AY21,"00"),CONCATENATE(INT(整月外場班表!AY21),"30"))</f>
        <v>00</v>
      </c>
      <c r="AZ21" s="23" t="str">
        <f>IF(MOD(整月外場班表!AZ21,1)=0,CONCATENATE(整月外場班表!AZ21,"00"),CONCATENATE(INT(整月外場班表!AZ21),"30"))</f>
        <v>00</v>
      </c>
      <c r="BA21" s="24" t="str">
        <f>IF(MOD(整月外場班表!BA21,1)=0,CONCATENATE(整月外場班表!BA21,"00"),CONCATENATE(INT(整月外場班表!BA21),"30"))</f>
        <v>00</v>
      </c>
      <c r="BB21" s="23" t="str">
        <f>IF(MOD(整月外場班表!BB21,1)=0,CONCATENATE(整月外場班表!BB21,"00"),CONCATENATE(INT(整月外場班表!BB21),"30"))</f>
        <v>00</v>
      </c>
      <c r="BC21" s="24" t="str">
        <f>IF(MOD(整月外場班表!BC21,1)=0,CONCATENATE(整月外場班表!BC21,"00"),CONCATENATE(INT(整月外場班表!BC21),"30"))</f>
        <v>00</v>
      </c>
      <c r="BD21" s="23" t="str">
        <f>IF(MOD(整月外場班表!BD21,1)=0,CONCATENATE(整月外場班表!BD21,"00"),CONCATENATE(INT(整月外場班表!BD21),"30"))</f>
        <v>00</v>
      </c>
      <c r="BE21" s="24" t="str">
        <f>IF(MOD(整月外場班表!BE21,1)=0,CONCATENATE(整月外場班表!BE21,"00"),CONCATENATE(INT(整月外場班表!BE21),"30"))</f>
        <v>00</v>
      </c>
      <c r="BF21" s="23" t="str">
        <f>IF(MOD(整月外場班表!BF21,1)=0,CONCATENATE(整月外場班表!BF21,"00"),CONCATENATE(INT(整月外場班表!BF21),"30"))</f>
        <v>00</v>
      </c>
      <c r="BG21" s="24" t="str">
        <f>IF(MOD(整月外場班表!BG21,1)=0,CONCATENATE(整月外場班表!BG21,"00"),CONCATENATE(INT(整月外場班表!BG21),"30"))</f>
        <v>00</v>
      </c>
      <c r="BH21" s="23" t="str">
        <f>IF(MOD(整月外場班表!BH21,1)=0,CONCATENATE(整月外場班表!BH21,"00"),CONCATENATE(INT(整月外場班表!BH21),"30"))</f>
        <v>00</v>
      </c>
      <c r="BI21" s="24" t="str">
        <f>IF(MOD(整月外場班表!BI21,1)=0,CONCATENATE(整月外場班表!BI21,"00"),CONCATENATE(INT(整月外場班表!BI21),"30"))</f>
        <v>00</v>
      </c>
      <c r="BJ21" s="23" t="str">
        <f>IF(MOD(整月外場班表!BJ21,1)=0,CONCATENATE(整月外場班表!BJ21,"00"),CONCATENATE(INT(整月外場班表!BJ21),"30"))</f>
        <v>00</v>
      </c>
      <c r="BK21" s="24" t="str">
        <f>IF(MOD(整月外場班表!BK21,1)=0,CONCATENATE(整月外場班表!BK21,"00"),CONCATENATE(INT(整月外場班表!BK21),"30"))</f>
        <v>00</v>
      </c>
      <c r="BL21" s="23" t="str">
        <f>IF(MOD(整月外場班表!BL21,1)=0,CONCATENATE(整月外場班表!BL21,"00"),CONCATENATE(INT(整月外場班表!BL21),"30"))</f>
        <v>00</v>
      </c>
      <c r="BM21" s="24" t="str">
        <f>IF(MOD(整月外場班表!BM21,1)=0,CONCATENATE(整月外場班表!BM21,"00"),CONCATENATE(INT(整月外場班表!BM21),"30"))</f>
        <v>00</v>
      </c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ht="15" thickBot="1">
      <c r="A22" s="84"/>
      <c r="B22" s="86"/>
      <c r="C22" s="94"/>
      <c r="D22" s="25" t="str">
        <f>IF(MOD(整月外場班表!D22,1)=0,CONCATENATE(整月外場班表!D22,"00"),CONCATENATE(INT(整月外場班表!D22),"30"))</f>
        <v>00</v>
      </c>
      <c r="E22" s="26" t="str">
        <f>IF(MOD(整月外場班表!E22,1)=0,CONCATENATE(整月外場班表!E22,"00"),CONCATENATE(INT(整月外場班表!E22),"30"))</f>
        <v>00</v>
      </c>
      <c r="F22" s="25" t="str">
        <f>IF(MOD(整月外場班表!F22,1)=0,CONCATENATE(整月外場班表!F22,"00"),CONCATENATE(INT(整月外場班表!F22),"30"))</f>
        <v>00</v>
      </c>
      <c r="G22" s="26" t="str">
        <f>IF(MOD(整月外場班表!G22,1)=0,CONCATENATE(整月外場班表!G22,"00"),CONCATENATE(INT(整月外場班表!G22),"30"))</f>
        <v>00</v>
      </c>
      <c r="H22" s="25" t="str">
        <f>IF(MOD(整月外場班表!H22,1)=0,CONCATENATE(整月外場班表!H22,"00"),CONCATENATE(INT(整月外場班表!H22),"30"))</f>
        <v>00</v>
      </c>
      <c r="I22" s="26" t="str">
        <f>IF(MOD(整月外場班表!I22,1)=0,CONCATENATE(整月外場班表!I22,"00"),CONCATENATE(INT(整月外場班表!I22),"30"))</f>
        <v>00</v>
      </c>
      <c r="J22" s="25" t="str">
        <f>IF(MOD(整月外場班表!J22,1)=0,CONCATENATE(整月外場班表!J22,"00"),CONCATENATE(INT(整月外場班表!J22),"30"))</f>
        <v>00</v>
      </c>
      <c r="K22" s="26" t="str">
        <f>IF(MOD(整月外場班表!K22,1)=0,CONCATENATE(整月外場班表!K22,"00"),CONCATENATE(INT(整月外場班表!K22),"30"))</f>
        <v>00</v>
      </c>
      <c r="L22" s="25" t="str">
        <f>IF(MOD(整月外場班表!L22,1)=0,CONCATENATE(整月外場班表!L22,"00"),CONCATENATE(INT(整月外場班表!L22),"30"))</f>
        <v>00</v>
      </c>
      <c r="M22" s="26" t="str">
        <f>IF(MOD(整月外場班表!M22,1)=0,CONCATENATE(整月外場班表!M22,"00"),CONCATENATE(INT(整月外場班表!M22),"30"))</f>
        <v>00</v>
      </c>
      <c r="N22" s="25" t="str">
        <f>IF(MOD(整月外場班表!N22,1)=0,CONCATENATE(整月外場班表!N22,"00"),CONCATENATE(INT(整月外場班表!N22),"30"))</f>
        <v>00</v>
      </c>
      <c r="O22" s="26" t="str">
        <f>IF(MOD(整月外場班表!O22,1)=0,CONCATENATE(整月外場班表!O22,"00"),CONCATENATE(INT(整月外場班表!O22),"30"))</f>
        <v>00</v>
      </c>
      <c r="P22" s="25" t="str">
        <f>IF(MOD(整月外場班表!P22,1)=0,CONCATENATE(整月外場班表!P22,"00"),CONCATENATE(INT(整月外場班表!P22),"30"))</f>
        <v>00</v>
      </c>
      <c r="Q22" s="26" t="str">
        <f>IF(MOD(整月外場班表!Q22,1)=0,CONCATENATE(整月外場班表!Q22,"00"),CONCATENATE(INT(整月外場班表!Q22),"30"))</f>
        <v>00</v>
      </c>
      <c r="R22" s="25" t="str">
        <f>IF(MOD(整月外場班表!R22,1)=0,CONCATENATE(整月外場班表!R22,"00"),CONCATENATE(INT(整月外場班表!R22),"30"))</f>
        <v>00</v>
      </c>
      <c r="S22" s="26" t="str">
        <f>IF(MOD(整月外場班表!S22,1)=0,CONCATENATE(整月外場班表!S22,"00"),CONCATENATE(INT(整月外場班表!S22),"30"))</f>
        <v>00</v>
      </c>
      <c r="T22" s="25" t="str">
        <f>IF(MOD(整月外場班表!T22,1)=0,CONCATENATE(整月外場班表!T22,"00"),CONCATENATE(INT(整月外場班表!T22),"30"))</f>
        <v>00</v>
      </c>
      <c r="U22" s="26" t="str">
        <f>IF(MOD(整月外場班表!U22,1)=0,CONCATENATE(整月外場班表!U22,"00"),CONCATENATE(INT(整月外場班表!U22),"30"))</f>
        <v>00</v>
      </c>
      <c r="V22" s="25" t="str">
        <f>IF(MOD(整月外場班表!V22,1)=0,CONCATENATE(整月外場班表!V22,"00"),CONCATENATE(INT(整月外場班表!V22),"30"))</f>
        <v>00</v>
      </c>
      <c r="W22" s="26" t="str">
        <f>IF(MOD(整月外場班表!W22,1)=0,CONCATENATE(整月外場班表!W22,"00"),CONCATENATE(INT(整月外場班表!W22),"30"))</f>
        <v>00</v>
      </c>
      <c r="X22" s="25" t="str">
        <f>IF(MOD(整月外場班表!X22,1)=0,CONCATENATE(整月外場班表!X22,"00"),CONCATENATE(INT(整月外場班表!X22),"30"))</f>
        <v>00</v>
      </c>
      <c r="Y22" s="26" t="str">
        <f>IF(MOD(整月外場班表!Y22,1)=0,CONCATENATE(整月外場班表!Y22,"00"),CONCATENATE(INT(整月外場班表!Y22),"30"))</f>
        <v>00</v>
      </c>
      <c r="Z22" s="25" t="str">
        <f>IF(MOD(整月外場班表!Z22,1)=0,CONCATENATE(整月外場班表!Z22,"00"),CONCATENATE(INT(整月外場班表!Z22),"30"))</f>
        <v>00</v>
      </c>
      <c r="AA22" s="26" t="str">
        <f>IF(MOD(整月外場班表!AA22,1)=0,CONCATENATE(整月外場班表!AA22,"00"),CONCATENATE(INT(整月外場班表!AA22),"30"))</f>
        <v>00</v>
      </c>
      <c r="AB22" s="25" t="str">
        <f>IF(MOD(整月外場班表!AB22,1)=0,CONCATENATE(整月外場班表!AB22,"00"),CONCATENATE(INT(整月外場班表!AB22),"30"))</f>
        <v>00</v>
      </c>
      <c r="AC22" s="26" t="str">
        <f>IF(MOD(整月外場班表!AC22,1)=0,CONCATENATE(整月外場班表!AC22,"00"),CONCATENATE(INT(整月外場班表!AC22),"30"))</f>
        <v>00</v>
      </c>
      <c r="AD22" s="25" t="str">
        <f>IF(MOD(整月外場班表!AD22,1)=0,CONCATENATE(整月外場班表!AD22,"00"),CONCATENATE(INT(整月外場班表!AD22),"30"))</f>
        <v>00</v>
      </c>
      <c r="AE22" s="26" t="str">
        <f>IF(MOD(整月外場班表!AE22,1)=0,CONCATENATE(整月外場班表!AE22,"00"),CONCATENATE(INT(整月外場班表!AE22),"30"))</f>
        <v>00</v>
      </c>
      <c r="AF22" s="25" t="str">
        <f>IF(MOD(整月外場班表!AF22,1)=0,CONCATENATE(整月外場班表!AF22,"00"),CONCATENATE(INT(整月外場班表!AF22),"30"))</f>
        <v>00</v>
      </c>
      <c r="AG22" s="26" t="str">
        <f>IF(MOD(整月外場班表!AG22,1)=0,CONCATENATE(整月外場班表!AG22,"00"),CONCATENATE(INT(整月外場班表!AG22),"30"))</f>
        <v>00</v>
      </c>
      <c r="AH22" s="25" t="str">
        <f>IF(MOD(整月外場班表!AH22,1)=0,CONCATENATE(整月外場班表!AH22,"00"),CONCATENATE(INT(整月外場班表!AH22),"30"))</f>
        <v>00</v>
      </c>
      <c r="AI22" s="26" t="str">
        <f>IF(MOD(整月外場班表!AI22,1)=0,CONCATENATE(整月外場班表!AI22,"00"),CONCATENATE(INT(整月外場班表!AI22),"30"))</f>
        <v>00</v>
      </c>
      <c r="AJ22" s="25" t="str">
        <f>IF(MOD(整月外場班表!AJ22,1)=0,CONCATENATE(整月外場班表!AJ22,"00"),CONCATENATE(INT(整月外場班表!AJ22),"30"))</f>
        <v>00</v>
      </c>
      <c r="AK22" s="26" t="str">
        <f>IF(MOD(整月外場班表!AK22,1)=0,CONCATENATE(整月外場班表!AK22,"00"),CONCATENATE(INT(整月外場班表!AK22),"30"))</f>
        <v>00</v>
      </c>
      <c r="AL22" s="25" t="str">
        <f>IF(MOD(整月外場班表!AL22,1)=0,CONCATENATE(整月外場班表!AL22,"00"),CONCATENATE(INT(整月外場班表!AL22),"30"))</f>
        <v>00</v>
      </c>
      <c r="AM22" s="26" t="str">
        <f>IF(MOD(整月外場班表!AM22,1)=0,CONCATENATE(整月外場班表!AM22,"00"),CONCATENATE(INT(整月外場班表!AM22),"30"))</f>
        <v>00</v>
      </c>
      <c r="AN22" s="25" t="str">
        <f>IF(MOD(整月外場班表!AN22,1)=0,CONCATENATE(整月外場班表!AN22,"00"),CONCATENATE(INT(整月外場班表!AN22),"30"))</f>
        <v>00</v>
      </c>
      <c r="AO22" s="26" t="str">
        <f>IF(MOD(整月外場班表!AO22,1)=0,CONCATENATE(整月外場班表!AO22,"00"),CONCATENATE(INT(整月外場班表!AO22),"30"))</f>
        <v>00</v>
      </c>
      <c r="AP22" s="25" t="str">
        <f>IF(MOD(整月外場班表!AP22,1)=0,CONCATENATE(整月外場班表!AP22,"00"),CONCATENATE(INT(整月外場班表!AP22),"30"))</f>
        <v>00</v>
      </c>
      <c r="AQ22" s="26" t="str">
        <f>IF(MOD(整月外場班表!AQ22,1)=0,CONCATENATE(整月外場班表!AQ22,"00"),CONCATENATE(INT(整月外場班表!AQ22),"30"))</f>
        <v>00</v>
      </c>
      <c r="AR22" s="25" t="str">
        <f>IF(MOD(整月外場班表!AR22,1)=0,CONCATENATE(整月外場班表!AR22,"00"),CONCATENATE(INT(整月外場班表!AR22),"30"))</f>
        <v>00</v>
      </c>
      <c r="AS22" s="26" t="str">
        <f>IF(MOD(整月外場班表!AS22,1)=0,CONCATENATE(整月外場班表!AS22,"00"),CONCATENATE(INT(整月外場班表!AS22),"30"))</f>
        <v>00</v>
      </c>
      <c r="AT22" s="25" t="str">
        <f>IF(MOD(整月外場班表!AT22,1)=0,CONCATENATE(整月外場班表!AT22,"00"),CONCATENATE(INT(整月外場班表!AT22),"30"))</f>
        <v>00</v>
      </c>
      <c r="AU22" s="26" t="str">
        <f>IF(MOD(整月外場班表!AU22,1)=0,CONCATENATE(整月外場班表!AU22,"00"),CONCATENATE(INT(整月外場班表!AU22),"30"))</f>
        <v>00</v>
      </c>
      <c r="AV22" s="25" t="str">
        <f>IF(MOD(整月外場班表!AV22,1)=0,CONCATENATE(整月外場班表!AV22,"00"),CONCATENATE(INT(整月外場班表!AV22),"30"))</f>
        <v>00</v>
      </c>
      <c r="AW22" s="26" t="str">
        <f>IF(MOD(整月外場班表!AW22,1)=0,CONCATENATE(整月外場班表!AW22,"00"),CONCATENATE(INT(整月外場班表!AW22),"30"))</f>
        <v>00</v>
      </c>
      <c r="AX22" s="25" t="str">
        <f>IF(MOD(整月外場班表!AX22,1)=0,CONCATENATE(整月外場班表!AX22,"00"),CONCATENATE(INT(整月外場班表!AX22),"30"))</f>
        <v>00</v>
      </c>
      <c r="AY22" s="26" t="str">
        <f>IF(MOD(整月外場班表!AY22,1)=0,CONCATENATE(整月外場班表!AY22,"00"),CONCATENATE(INT(整月外場班表!AY22),"30"))</f>
        <v>00</v>
      </c>
      <c r="AZ22" s="25" t="str">
        <f>IF(MOD(整月外場班表!AZ22,1)=0,CONCATENATE(整月外場班表!AZ22,"00"),CONCATENATE(INT(整月外場班表!AZ22),"30"))</f>
        <v>00</v>
      </c>
      <c r="BA22" s="26" t="str">
        <f>IF(MOD(整月外場班表!BA22,1)=0,CONCATENATE(整月外場班表!BA22,"00"),CONCATENATE(INT(整月外場班表!BA22),"30"))</f>
        <v>00</v>
      </c>
      <c r="BB22" s="25" t="str">
        <f>IF(MOD(整月外場班表!BB22,1)=0,CONCATENATE(整月外場班表!BB22,"00"),CONCATENATE(INT(整月外場班表!BB22),"30"))</f>
        <v>00</v>
      </c>
      <c r="BC22" s="26" t="str">
        <f>IF(MOD(整月外場班表!BC22,1)=0,CONCATENATE(整月外場班表!BC22,"00"),CONCATENATE(INT(整月外場班表!BC22),"30"))</f>
        <v>00</v>
      </c>
      <c r="BD22" s="25" t="str">
        <f>IF(MOD(整月外場班表!BD22,1)=0,CONCATENATE(整月外場班表!BD22,"00"),CONCATENATE(INT(整月外場班表!BD22),"30"))</f>
        <v>00</v>
      </c>
      <c r="BE22" s="26" t="str">
        <f>IF(MOD(整月外場班表!BE22,1)=0,CONCATENATE(整月外場班表!BE22,"00"),CONCATENATE(INT(整月外場班表!BE22),"30"))</f>
        <v>00</v>
      </c>
      <c r="BF22" s="25" t="str">
        <f>IF(MOD(整月外場班表!BF22,1)=0,CONCATENATE(整月外場班表!BF22,"00"),CONCATENATE(INT(整月外場班表!BF22),"30"))</f>
        <v>00</v>
      </c>
      <c r="BG22" s="26" t="str">
        <f>IF(MOD(整月外場班表!BG22,1)=0,CONCATENATE(整月外場班表!BG22,"00"),CONCATENATE(INT(整月外場班表!BG22),"30"))</f>
        <v>00</v>
      </c>
      <c r="BH22" s="25" t="str">
        <f>IF(MOD(整月外場班表!BH22,1)=0,CONCATENATE(整月外場班表!BH22,"00"),CONCATENATE(INT(整月外場班表!BH22),"30"))</f>
        <v>00</v>
      </c>
      <c r="BI22" s="26" t="str">
        <f>IF(MOD(整月外場班表!BI22,1)=0,CONCATENATE(整月外場班表!BI22,"00"),CONCATENATE(INT(整月外場班表!BI22),"30"))</f>
        <v>00</v>
      </c>
      <c r="BJ22" s="25" t="str">
        <f>IF(MOD(整月外場班表!BJ22,1)=0,CONCATENATE(整月外場班表!BJ22,"00"),CONCATENATE(INT(整月外場班表!BJ22),"30"))</f>
        <v>00</v>
      </c>
      <c r="BK22" s="26" t="str">
        <f>IF(MOD(整月外場班表!BK22,1)=0,CONCATENATE(整月外場班表!BK22,"00"),CONCATENATE(INT(整月外場班表!BK22),"30"))</f>
        <v>00</v>
      </c>
      <c r="BL22" s="25" t="str">
        <f>IF(MOD(整月外場班表!BL22,1)=0,CONCATENATE(整月外場班表!BL22,"00"),CONCATENATE(INT(整月外場班表!BL22),"30"))</f>
        <v>00</v>
      </c>
      <c r="BM22" s="26" t="str">
        <f>IF(MOD(整月外場班表!BM22,1)=0,CONCATENATE(整月外場班表!BM22,"00"),CONCATENATE(INT(整月外場班表!BM22),"30"))</f>
        <v>00</v>
      </c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ht="40" customHeight="1" thickBot="1">
      <c r="A23" s="47"/>
      <c r="B23" s="84"/>
      <c r="C23" s="95"/>
      <c r="D23" s="104" t="str" cm="1">
        <f t="array" ref="D23">_xlfn.IFS(AND(D21="00",D22="00"),";H",AND(D21&lt;&gt;"00",D22&lt;&gt;"00"),CONCATENATE(D21,"-",E22,"(",E21,"-",D22,")"),AND(D21="00",D22&lt;&gt;"00"),CONCATENATE(D22,"-",E22),AND(D21&lt;&gt;"00",D22="00"),CONCATENATE(D21,"-",E21))</f>
        <v>;H</v>
      </c>
      <c r="E23" s="105"/>
      <c r="F23" s="104" t="str" cm="1">
        <f t="array" ref="F23">_xlfn.IFS(AND(F21="00",F22="00"),";H",AND(F21&lt;&gt;"00",F22&lt;&gt;"00"),CONCATENATE(F21,"-",G22,"(",G21,"-",F22,")"),AND(F21="00",F22&lt;&gt;"00"),CONCATENATE(F22,"-",G22),AND(F21&lt;&gt;"00",F22="00"),CONCATENATE(F21,"-",G21))</f>
        <v>;H</v>
      </c>
      <c r="G23" s="105"/>
      <c r="H23" s="104" t="str" cm="1">
        <f t="array" ref="H23">_xlfn.IFS(AND(H21="00",H22="00"),";H",AND(H21&lt;&gt;"00",H22&lt;&gt;"00"),CONCATENATE(H21,"-",I22,"(",I21,"-",H22,")"),AND(H21="00",H22&lt;&gt;"00"),CONCATENATE(H22,"-",I22),AND(H21&lt;&gt;"00",H22="00"),CONCATENATE(H21,"-",I21))</f>
        <v>;H</v>
      </c>
      <c r="I23" s="105"/>
      <c r="J23" s="104" t="str" cm="1">
        <f t="array" ref="J23">_xlfn.IFS(AND(J21="00",J22="00"),";H",AND(J21&lt;&gt;"00",J22&lt;&gt;"00"),CONCATENATE(J21,"-",K22,"(",K21,"-",J22,")"),AND(J21="00",J22&lt;&gt;"00"),CONCATENATE(J22,"-",K22),AND(J21&lt;&gt;"00",J22="00"),CONCATENATE(J21,"-",K21))</f>
        <v>;H</v>
      </c>
      <c r="K23" s="105"/>
      <c r="L23" s="104" t="str" cm="1">
        <f t="array" ref="L23">_xlfn.IFS(AND(L21="00",L22="00"),";H",AND(L21&lt;&gt;"00",L22&lt;&gt;"00"),CONCATENATE(L21,"-",M22,"(",M21,"-",L22,")"),AND(L21="00",L22&lt;&gt;"00"),CONCATENATE(L22,"-",M22),AND(L21&lt;&gt;"00",L22="00"),CONCATENATE(L21,"-",M21))</f>
        <v>;H</v>
      </c>
      <c r="M23" s="105"/>
      <c r="N23" s="104" t="str" cm="1">
        <f t="array" ref="N23">_xlfn.IFS(AND(N21="00",N22="00"),";H",AND(N21&lt;&gt;"00",N22&lt;&gt;"00"),CONCATENATE(N21,"-",O22,"(",O21,"-",N22,")"),AND(N21="00",N22&lt;&gt;"00"),CONCATENATE(N22,"-",O22),AND(N21&lt;&gt;"00",N22="00"),CONCATENATE(N21,"-",O21))</f>
        <v>;H</v>
      </c>
      <c r="O23" s="105"/>
      <c r="P23" s="104" t="str" cm="1">
        <f t="array" ref="P23">_xlfn.IFS(AND(P21="00",P22="00"),";H",AND(P21&lt;&gt;"00",P22&lt;&gt;"00"),CONCATENATE(P21,"-",Q22,"(",Q21,"-",P22,")"),AND(P21="00",P22&lt;&gt;"00"),CONCATENATE(P22,"-",Q22),AND(P21&lt;&gt;"00",P22="00"),CONCATENATE(P21,"-",Q21))</f>
        <v>;H</v>
      </c>
      <c r="Q23" s="105"/>
      <c r="R23" s="104" t="str" cm="1">
        <f t="array" ref="R23">_xlfn.IFS(AND(R21="00",R22="00"),";H",AND(R21&lt;&gt;"00",R22&lt;&gt;"00"),CONCATENATE(R21,"-",S22,"(",S21,"-",R22,")"),AND(R21="00",R22&lt;&gt;"00"),CONCATENATE(R22,"-",S22),AND(R21&lt;&gt;"00",R22="00"),CONCATENATE(R21,"-",S21))</f>
        <v>;H</v>
      </c>
      <c r="S23" s="105"/>
      <c r="T23" s="104" t="str" cm="1">
        <f t="array" ref="T23">_xlfn.IFS(AND(T21="00",T22="00"),";H",AND(T21&lt;&gt;"00",T22&lt;&gt;"00"),CONCATENATE(T21,"-",U22,"(",U21,"-",T22,")"),AND(T21="00",T22&lt;&gt;"00"),CONCATENATE(T22,"-",U22),AND(T21&lt;&gt;"00",T22="00"),CONCATENATE(T21,"-",U21))</f>
        <v>;H</v>
      </c>
      <c r="U23" s="105"/>
      <c r="V23" s="104" t="str" cm="1">
        <f t="array" ref="V23">_xlfn.IFS(AND(V21="00",V22="00"),";H",AND(V21&lt;&gt;"00",V22&lt;&gt;"00"),CONCATENATE(V21,"-",W22,"(",W21,"-",V22,")"),AND(V21="00",V22&lt;&gt;"00"),CONCATENATE(V22,"-",W22),AND(V21&lt;&gt;"00",V22="00"),CONCATENATE(V21,"-",W21))</f>
        <v>;H</v>
      </c>
      <c r="W23" s="105"/>
      <c r="X23" s="104" t="str" cm="1">
        <f t="array" ref="X23">_xlfn.IFS(AND(X21="00",X22="00"),";H",AND(X21&lt;&gt;"00",X22&lt;&gt;"00"),CONCATENATE(X21,"-",Y22,"(",Y21,"-",X22,")"),AND(X21="00",X22&lt;&gt;"00"),CONCATENATE(X22,"-",Y22),AND(X21&lt;&gt;"00",X22="00"),CONCATENATE(X21,"-",Y21))</f>
        <v>;H</v>
      </c>
      <c r="Y23" s="105"/>
      <c r="Z23" s="104" t="str" cm="1">
        <f t="array" ref="Z23">_xlfn.IFS(AND(Z21="00",Z22="00"),";H",AND(Z21&lt;&gt;"00",Z22&lt;&gt;"00"),CONCATENATE(Z21,"-",AA22,"(",AA21,"-",Z22,")"),AND(Z21="00",Z22&lt;&gt;"00"),CONCATENATE(Z22,"-",AA22),AND(Z21&lt;&gt;"00",Z22="00"),CONCATENATE(Z21,"-",AA21))</f>
        <v>;H</v>
      </c>
      <c r="AA23" s="105"/>
      <c r="AB23" s="104" t="str" cm="1">
        <f t="array" ref="AB23">_xlfn.IFS(AND(AB21="00",AB22="00"),";H",AND(AB21&lt;&gt;"00",AB22&lt;&gt;"00"),CONCATENATE(AB21,"-",AC22,"(",AC21,"-",AB22,")"),AND(AB21="00",AB22&lt;&gt;"00"),CONCATENATE(AB22,"-",AC22),AND(AB21&lt;&gt;"00",AB22="00"),CONCATENATE(AB21,"-",AC21))</f>
        <v>;H</v>
      </c>
      <c r="AC23" s="105"/>
      <c r="AD23" s="104" t="str" cm="1">
        <f t="array" ref="AD23">_xlfn.IFS(AND(AD21="00",AD22="00"),";H",AND(AD21&lt;&gt;"00",AD22&lt;&gt;"00"),CONCATENATE(AD21,"-",AE22,"(",AE21,"-",AD22,")"),AND(AD21="00",AD22&lt;&gt;"00"),CONCATENATE(AD22,"-",AE22),AND(AD21&lt;&gt;"00",AD22="00"),CONCATENATE(AD21,"-",AE21))</f>
        <v>;H</v>
      </c>
      <c r="AE23" s="105"/>
      <c r="AF23" s="104" t="str" cm="1">
        <f t="array" ref="AF23">_xlfn.IFS(AND(AF21="00",AF22="00"),";H",AND(AF21&lt;&gt;"00",AF22&lt;&gt;"00"),CONCATENATE(AF21,"-",AG22,"(",AG21,"-",AF22,")"),AND(AF21="00",AF22&lt;&gt;"00"),CONCATENATE(AF22,"-",AG22),AND(AF21&lt;&gt;"00",AF22="00"),CONCATENATE(AF21,"-",AG21))</f>
        <v>;H</v>
      </c>
      <c r="AG23" s="105"/>
      <c r="AH23" s="104" t="str" cm="1">
        <f t="array" ref="AH23">_xlfn.IFS(AND(AH21="00",AH22="00"),";H",AND(AH21&lt;&gt;"00",AH22&lt;&gt;"00"),CONCATENATE(AH21,"-",AI22,"(",AI21,"-",AH22,")"),AND(AH21="00",AH22&lt;&gt;"00"),CONCATENATE(AH22,"-",AI22),AND(AH21&lt;&gt;"00",AH22="00"),CONCATENATE(AH21,"-",AI21))</f>
        <v>;H</v>
      </c>
      <c r="AI23" s="105"/>
      <c r="AJ23" s="104" t="str" cm="1">
        <f t="array" ref="AJ23">_xlfn.IFS(AND(AJ21="00",AJ22="00"),";H",AND(AJ21&lt;&gt;"00",AJ22&lt;&gt;"00"),CONCATENATE(AJ21,"-",AK22,"(",AK21,"-",AJ22,")"),AND(AJ21="00",AJ22&lt;&gt;"00"),CONCATENATE(AJ22,"-",AK22),AND(AJ21&lt;&gt;"00",AJ22="00"),CONCATENATE(AJ21,"-",AK21))</f>
        <v>;H</v>
      </c>
      <c r="AK23" s="105"/>
      <c r="AL23" s="104" t="str" cm="1">
        <f t="array" ref="AL23">_xlfn.IFS(AND(AL21="00",AL22="00"),";H",AND(AL21&lt;&gt;"00",AL22&lt;&gt;"00"),CONCATENATE(AL21,"-",AM22,"(",AM21,"-",AL22,")"),AND(AL21="00",AL22&lt;&gt;"00"),CONCATENATE(AL22,"-",AM22),AND(AL21&lt;&gt;"00",AL22="00"),CONCATENATE(AL21,"-",AM21))</f>
        <v>;H</v>
      </c>
      <c r="AM23" s="105"/>
      <c r="AN23" s="104" t="str" cm="1">
        <f t="array" ref="AN23">_xlfn.IFS(AND(AN21="00",AN22="00"),";H",AND(AN21&lt;&gt;"00",AN22&lt;&gt;"00"),CONCATENATE(AN21,"-",AO22,"(",AO21,"-",AN22,")"),AND(AN21="00",AN22&lt;&gt;"00"),CONCATENATE(AN22,"-",AO22),AND(AN21&lt;&gt;"00",AN22="00"),CONCATENATE(AN21,"-",AO21))</f>
        <v>;H</v>
      </c>
      <c r="AO23" s="105"/>
      <c r="AP23" s="104" t="str" cm="1">
        <f t="array" ref="AP23">_xlfn.IFS(AND(AP21="00",AP22="00"),";H",AND(AP21&lt;&gt;"00",AP22&lt;&gt;"00"),CONCATENATE(AP21,"-",AQ22,"(",AQ21,"-",AP22,")"),AND(AP21="00",AP22&lt;&gt;"00"),CONCATENATE(AP22,"-",AQ22),AND(AP21&lt;&gt;"00",AP22="00"),CONCATENATE(AP21,"-",AQ21))</f>
        <v>;H</v>
      </c>
      <c r="AQ23" s="105"/>
      <c r="AR23" s="104" t="str" cm="1">
        <f t="array" ref="AR23">_xlfn.IFS(AND(AR21="00",AR22="00"),";H",AND(AR21&lt;&gt;"00",AR22&lt;&gt;"00"),CONCATENATE(AR21,"-",AS22,"(",AS21,"-",AR22,")"),AND(AR21="00",AR22&lt;&gt;"00"),CONCATENATE(AR22,"-",AS22),AND(AR21&lt;&gt;"00",AR22="00"),CONCATENATE(AR21,"-",AS21))</f>
        <v>;H</v>
      </c>
      <c r="AS23" s="105"/>
      <c r="AT23" s="104" t="str" cm="1">
        <f t="array" ref="AT23">_xlfn.IFS(AND(AT21="00",AT22="00"),";H",AND(AT21&lt;&gt;"00",AT22&lt;&gt;"00"),CONCATENATE(AT21,"-",AU22,"(",AU21,"-",AT22,")"),AND(AT21="00",AT22&lt;&gt;"00"),CONCATENATE(AT22,"-",AU22),AND(AT21&lt;&gt;"00",AT22="00"),CONCATENATE(AT21,"-",AU21))</f>
        <v>;H</v>
      </c>
      <c r="AU23" s="105"/>
      <c r="AV23" s="104" t="str" cm="1">
        <f t="array" ref="AV23">_xlfn.IFS(AND(AV21="00",AV22="00"),";H",AND(AV21&lt;&gt;"00",AV22&lt;&gt;"00"),CONCATENATE(AV21,"-",AW22,"(",AW21,"-",AV22,")"),AND(AV21="00",AV22&lt;&gt;"00"),CONCATENATE(AV22,"-",AW22),AND(AV21&lt;&gt;"00",AV22="00"),CONCATENATE(AV21,"-",AW21))</f>
        <v>;H</v>
      </c>
      <c r="AW23" s="105"/>
      <c r="AX23" s="104" t="str" cm="1">
        <f t="array" ref="AX23">_xlfn.IFS(AND(AX21="00",AX22="00"),";H",AND(AX21&lt;&gt;"00",AX22&lt;&gt;"00"),CONCATENATE(AX21,"-",AY22,"(",AY21,"-",AX22,")"),AND(AX21="00",AX22&lt;&gt;"00"),CONCATENATE(AX22,"-",AY22),AND(AX21&lt;&gt;"00",AX22="00"),CONCATENATE(AX21,"-",AY21))</f>
        <v>;H</v>
      </c>
      <c r="AY23" s="105"/>
      <c r="AZ23" s="104" t="str" cm="1">
        <f t="array" ref="AZ23">_xlfn.IFS(AND(AZ21="00",AZ22="00"),";H",AND(AZ21&lt;&gt;"00",AZ22&lt;&gt;"00"),CONCATENATE(AZ21,"-",BA22,"(",BA21,"-",AZ22,")"),AND(AZ21="00",AZ22&lt;&gt;"00"),CONCATENATE(AZ22,"-",BA22),AND(AZ21&lt;&gt;"00",AZ22="00"),CONCATENATE(AZ21,"-",BA21))</f>
        <v>;H</v>
      </c>
      <c r="BA23" s="105"/>
      <c r="BB23" s="104" t="str" cm="1">
        <f t="array" ref="BB23">_xlfn.IFS(AND(BB21="00",BB22="00"),";H",AND(BB21&lt;&gt;"00",BB22&lt;&gt;"00"),CONCATENATE(BB21,"-",BC22,"(",BC21,"-",BB22,")"),AND(BB21="00",BB22&lt;&gt;"00"),CONCATENATE(BB22,"-",BC22),AND(BB21&lt;&gt;"00",BB22="00"),CONCATENATE(BB21,"-",BC21))</f>
        <v>;H</v>
      </c>
      <c r="BC23" s="105"/>
      <c r="BD23" s="104" t="str" cm="1">
        <f t="array" ref="BD23">_xlfn.IFS(AND(BD21="00",BD22="00"),";H",AND(BD21&lt;&gt;"00",BD22&lt;&gt;"00"),CONCATENATE(BD21,"-",BE22,"(",BE21,"-",BD22,")"),AND(BD21="00",BD22&lt;&gt;"00"),CONCATENATE(BD22,"-",BE22),AND(BD21&lt;&gt;"00",BD22="00"),CONCATENATE(BD21,"-",BE21))</f>
        <v>;H</v>
      </c>
      <c r="BE23" s="105"/>
      <c r="BF23" s="104" t="str" cm="1">
        <f t="array" ref="BF23">_xlfn.IFS(AND(BF21="00",BF22="00"),";H",AND(BF21&lt;&gt;"00",BF22&lt;&gt;"00"),CONCATENATE(BF21,"-",BG22,"(",BG21,"-",BF22,")"),AND(BF21="00",BF22&lt;&gt;"00"),CONCATENATE(BF22,"-",BG22),AND(BF21&lt;&gt;"00",BF22="00"),CONCATENATE(BF21,"-",BG21))</f>
        <v>;H</v>
      </c>
      <c r="BG23" s="105"/>
      <c r="BH23" s="104" t="str" cm="1">
        <f t="array" ref="BH23">_xlfn.IFS(AND(BH21="00",BH22="00"),";H",AND(BH21&lt;&gt;"00",BH22&lt;&gt;"00"),CONCATENATE(BH21,"-",BI22,"(",BI21,"-",BH22,")"),AND(BH21="00",BH22&lt;&gt;"00"),CONCATENATE(BH22,"-",BI22),AND(BH21&lt;&gt;"00",BH22="00"),CONCATENATE(BH21,"-",BI21))</f>
        <v>;H</v>
      </c>
      <c r="BI23" s="105"/>
      <c r="BJ23" s="104" t="str" cm="1">
        <f t="array" ref="BJ23">_xlfn.IFS(AND(BJ21="00",BJ22="00"),";H",AND(BJ21&lt;&gt;"00",BJ22&lt;&gt;"00"),CONCATENATE(BJ21,"-",BK22,"(",BK21,"-",BJ22,")"),AND(BJ21="00",BJ22&lt;&gt;"00"),CONCATENATE(BJ22,"-",BK22),AND(BJ21&lt;&gt;"00",BJ22="00"),CONCATENATE(BJ21,"-",BK21))</f>
        <v>;H</v>
      </c>
      <c r="BK23" s="105"/>
      <c r="BL23" s="104" t="str" cm="1">
        <f t="array" ref="BL23">_xlfn.IFS(AND(BL21="00",BL22="00"),";H",AND(BL21&lt;&gt;"00",BL22&lt;&gt;"00"),CONCATENATE(BL21,"-",BM22,"(",BM21,"-",BL22,")"),AND(BL21="00",BL22&lt;&gt;"00"),CONCATENATE(BL22,"-",BM22),AND(BL21&lt;&gt;"00",BL22="00"),CONCATENATE(BL21,"-",BM21))</f>
        <v>;H</v>
      </c>
      <c r="BM23" s="105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ht="15" thickBot="1">
      <c r="A24" s="83"/>
      <c r="B24" s="145">
        <f>整月外場班表!B24</f>
        <v>0</v>
      </c>
      <c r="C24" s="93"/>
      <c r="D24" s="23" t="str">
        <f>IF(MOD(整月外場班表!D24,1)=0,CONCATENATE(整月外場班表!D24,"00"),CONCATENATE(INT(整月外場班表!D24),"30"))</f>
        <v>00</v>
      </c>
      <c r="E24" s="24" t="str">
        <f>IF(MOD(整月外場班表!E24,1)=0,CONCATENATE(整月外場班表!E24,"00"),CONCATENATE(INT(整月外場班表!E24),"30"))</f>
        <v>00</v>
      </c>
      <c r="F24" s="23" t="str">
        <f>IF(MOD(整月外場班表!F24,1)=0,CONCATENATE(整月外場班表!F24,"00"),CONCATENATE(INT(整月外場班表!F24),"30"))</f>
        <v>00</v>
      </c>
      <c r="G24" s="24" t="str">
        <f>IF(MOD(整月外場班表!G24,1)=0,CONCATENATE(整月外場班表!G24,"00"),CONCATENATE(INT(整月外場班表!G24),"30"))</f>
        <v>00</v>
      </c>
      <c r="H24" s="23" t="str">
        <f>IF(MOD(整月外場班表!H24,1)=0,CONCATENATE(整月外場班表!H24,"00"),CONCATENATE(INT(整月外場班表!H24),"30"))</f>
        <v>00</v>
      </c>
      <c r="I24" s="24" t="str">
        <f>IF(MOD(整月外場班表!I24,1)=0,CONCATENATE(整月外場班表!I24,"00"),CONCATENATE(INT(整月外場班表!I24),"30"))</f>
        <v>00</v>
      </c>
      <c r="J24" s="23" t="str">
        <f>IF(MOD(整月外場班表!J24,1)=0,CONCATENATE(整月外場班表!J24,"00"),CONCATENATE(INT(整月外場班表!J24),"30"))</f>
        <v>00</v>
      </c>
      <c r="K24" s="24" t="str">
        <f>IF(MOD(整月外場班表!K24,1)=0,CONCATENATE(整月外場班表!K24,"00"),CONCATENATE(INT(整月外場班表!K24),"30"))</f>
        <v>00</v>
      </c>
      <c r="L24" s="23" t="str">
        <f>IF(MOD(整月外場班表!L24,1)=0,CONCATENATE(整月外場班表!L24,"00"),CONCATENATE(INT(整月外場班表!L24),"30"))</f>
        <v>00</v>
      </c>
      <c r="M24" s="24" t="str">
        <f>IF(MOD(整月外場班表!M24,1)=0,CONCATENATE(整月外場班表!M24,"00"),CONCATENATE(INT(整月外場班表!M24),"30"))</f>
        <v>00</v>
      </c>
      <c r="N24" s="23" t="str">
        <f>IF(MOD(整月外場班表!N24,1)=0,CONCATENATE(整月外場班表!N24,"00"),CONCATENATE(INT(整月外場班表!N24),"30"))</f>
        <v>00</v>
      </c>
      <c r="O24" s="24" t="str">
        <f>IF(MOD(整月外場班表!O24,1)=0,CONCATENATE(整月外場班表!O24,"00"),CONCATENATE(INT(整月外場班表!O24),"30"))</f>
        <v>00</v>
      </c>
      <c r="P24" s="23" t="str">
        <f>IF(MOD(整月外場班表!P24,1)=0,CONCATENATE(整月外場班表!P24,"00"),CONCATENATE(INT(整月外場班表!P24),"30"))</f>
        <v>00</v>
      </c>
      <c r="Q24" s="24" t="str">
        <f>IF(MOD(整月外場班表!Q24,1)=0,CONCATENATE(整月外場班表!Q24,"00"),CONCATENATE(INT(整月外場班表!Q24),"30"))</f>
        <v>00</v>
      </c>
      <c r="R24" s="23" t="str">
        <f>IF(MOD(整月外場班表!R24,1)=0,CONCATENATE(整月外場班表!R24,"00"),CONCATENATE(INT(整月外場班表!R24),"30"))</f>
        <v>00</v>
      </c>
      <c r="S24" s="24" t="str">
        <f>IF(MOD(整月外場班表!S24,1)=0,CONCATENATE(整月外場班表!S24,"00"),CONCATENATE(INT(整月外場班表!S24),"30"))</f>
        <v>00</v>
      </c>
      <c r="T24" s="23" t="str">
        <f>IF(MOD(整月外場班表!T24,1)=0,CONCATENATE(整月外場班表!T24,"00"),CONCATENATE(INT(整月外場班表!T24),"30"))</f>
        <v>00</v>
      </c>
      <c r="U24" s="24" t="str">
        <f>IF(MOD(整月外場班表!U24,1)=0,CONCATENATE(整月外場班表!U24,"00"),CONCATENATE(INT(整月外場班表!U24),"30"))</f>
        <v>00</v>
      </c>
      <c r="V24" s="23" t="str">
        <f>IF(MOD(整月外場班表!V24,1)=0,CONCATENATE(整月外場班表!V24,"00"),CONCATENATE(INT(整月外場班表!V24),"30"))</f>
        <v>00</v>
      </c>
      <c r="W24" s="24" t="str">
        <f>IF(MOD(整月外場班表!W24,1)=0,CONCATENATE(整月外場班表!W24,"00"),CONCATENATE(INT(整月外場班表!W24),"30"))</f>
        <v>00</v>
      </c>
      <c r="X24" s="23" t="str">
        <f>IF(MOD(整月外場班表!X24,1)=0,CONCATENATE(整月外場班表!X24,"00"),CONCATENATE(INT(整月外場班表!X24),"30"))</f>
        <v>00</v>
      </c>
      <c r="Y24" s="24" t="str">
        <f>IF(MOD(整月外場班表!Y24,1)=0,CONCATENATE(整月外場班表!Y24,"00"),CONCATENATE(INT(整月外場班表!Y24),"30"))</f>
        <v>00</v>
      </c>
      <c r="Z24" s="23" t="str">
        <f>IF(MOD(整月外場班表!Z24,1)=0,CONCATENATE(整月外場班表!Z24,"00"),CONCATENATE(INT(整月外場班表!Z24),"30"))</f>
        <v>00</v>
      </c>
      <c r="AA24" s="24" t="str">
        <f>IF(MOD(整月外場班表!AA24,1)=0,CONCATENATE(整月外場班表!AA24,"00"),CONCATENATE(INT(整月外場班表!AA24),"30"))</f>
        <v>00</v>
      </c>
      <c r="AB24" s="23" t="str">
        <f>IF(MOD(整月外場班表!AB24,1)=0,CONCATENATE(整月外場班表!AB24,"00"),CONCATENATE(INT(整月外場班表!AB24),"30"))</f>
        <v>00</v>
      </c>
      <c r="AC24" s="24" t="str">
        <f>IF(MOD(整月外場班表!AC24,1)=0,CONCATENATE(整月外場班表!AC24,"00"),CONCATENATE(INT(整月外場班表!AC24),"30"))</f>
        <v>00</v>
      </c>
      <c r="AD24" s="23" t="str">
        <f>IF(MOD(整月外場班表!AD24,1)=0,CONCATENATE(整月外場班表!AD24,"00"),CONCATENATE(INT(整月外場班表!AD24),"30"))</f>
        <v>00</v>
      </c>
      <c r="AE24" s="24" t="str">
        <f>IF(MOD(整月外場班表!AE24,1)=0,CONCATENATE(整月外場班表!AE24,"00"),CONCATENATE(INT(整月外場班表!AE24),"30"))</f>
        <v>00</v>
      </c>
      <c r="AF24" s="23" t="str">
        <f>IF(MOD(整月外場班表!AF24,1)=0,CONCATENATE(整月外場班表!AF24,"00"),CONCATENATE(INT(整月外場班表!AF24),"30"))</f>
        <v>00</v>
      </c>
      <c r="AG24" s="24" t="str">
        <f>IF(MOD(整月外場班表!AG24,1)=0,CONCATENATE(整月外場班表!AG24,"00"),CONCATENATE(INT(整月外場班表!AG24),"30"))</f>
        <v>00</v>
      </c>
      <c r="AH24" s="23" t="str">
        <f>IF(MOD(整月外場班表!AH24,1)=0,CONCATENATE(整月外場班表!AH24,"00"),CONCATENATE(INT(整月外場班表!AH24),"30"))</f>
        <v>00</v>
      </c>
      <c r="AI24" s="24" t="str">
        <f>IF(MOD(整月外場班表!AI24,1)=0,CONCATENATE(整月外場班表!AI24,"00"),CONCATENATE(INT(整月外場班表!AI24),"30"))</f>
        <v>00</v>
      </c>
      <c r="AJ24" s="23" t="str">
        <f>IF(MOD(整月外場班表!AJ24,1)=0,CONCATENATE(整月外場班表!AJ24,"00"),CONCATENATE(INT(整月外場班表!AJ24),"30"))</f>
        <v>00</v>
      </c>
      <c r="AK24" s="24" t="str">
        <f>IF(MOD(整月外場班表!AK24,1)=0,CONCATENATE(整月外場班表!AK24,"00"),CONCATENATE(INT(整月外場班表!AK24),"30"))</f>
        <v>00</v>
      </c>
      <c r="AL24" s="23" t="str">
        <f>IF(MOD(整月外場班表!AL24,1)=0,CONCATENATE(整月外場班表!AL24,"00"),CONCATENATE(INT(整月外場班表!AL24),"30"))</f>
        <v>00</v>
      </c>
      <c r="AM24" s="24" t="str">
        <f>IF(MOD(整月外場班表!AM24,1)=0,CONCATENATE(整月外場班表!AM24,"00"),CONCATENATE(INT(整月外場班表!AM24),"30"))</f>
        <v>00</v>
      </c>
      <c r="AN24" s="23" t="str">
        <f>IF(MOD(整月外場班表!AN24,1)=0,CONCATENATE(整月外場班表!AN24,"00"),CONCATENATE(INT(整月外場班表!AN24),"30"))</f>
        <v>00</v>
      </c>
      <c r="AO24" s="24" t="str">
        <f>IF(MOD(整月外場班表!AO24,1)=0,CONCATENATE(整月外場班表!AO24,"00"),CONCATENATE(INT(整月外場班表!AO24),"30"))</f>
        <v>00</v>
      </c>
      <c r="AP24" s="23" t="str">
        <f>IF(MOD(整月外場班表!AP24,1)=0,CONCATENATE(整月外場班表!AP24,"00"),CONCATENATE(INT(整月外場班表!AP24),"30"))</f>
        <v>00</v>
      </c>
      <c r="AQ24" s="24" t="str">
        <f>IF(MOD(整月外場班表!AQ24,1)=0,CONCATENATE(整月外場班表!AQ24,"00"),CONCATENATE(INT(整月外場班表!AQ24),"30"))</f>
        <v>00</v>
      </c>
      <c r="AR24" s="23" t="str">
        <f>IF(MOD(整月外場班表!AR24,1)=0,CONCATENATE(整月外場班表!AR24,"00"),CONCATENATE(INT(整月外場班表!AR24),"30"))</f>
        <v>00</v>
      </c>
      <c r="AS24" s="24" t="str">
        <f>IF(MOD(整月外場班表!AS24,1)=0,CONCATENATE(整月外場班表!AS24,"00"),CONCATENATE(INT(整月外場班表!AS24),"30"))</f>
        <v>00</v>
      </c>
      <c r="AT24" s="23" t="str">
        <f>IF(MOD(整月外場班表!AT24,1)=0,CONCATENATE(整月外場班表!AT24,"00"),CONCATENATE(INT(整月外場班表!AT24),"30"))</f>
        <v>00</v>
      </c>
      <c r="AU24" s="24" t="str">
        <f>IF(MOD(整月外場班表!AU24,1)=0,CONCATENATE(整月外場班表!AU24,"00"),CONCATENATE(INT(整月外場班表!AU24),"30"))</f>
        <v>00</v>
      </c>
      <c r="AV24" s="23" t="str">
        <f>IF(MOD(整月外場班表!AV24,1)=0,CONCATENATE(整月外場班表!AV24,"00"),CONCATENATE(INT(整月外場班表!AV24),"30"))</f>
        <v>00</v>
      </c>
      <c r="AW24" s="24" t="str">
        <f>IF(MOD(整月外場班表!AW24,1)=0,CONCATENATE(整月外場班表!AW24,"00"),CONCATENATE(INT(整月外場班表!AW24),"30"))</f>
        <v>00</v>
      </c>
      <c r="AX24" s="23" t="str">
        <f>IF(MOD(整月外場班表!AX24,1)=0,CONCATENATE(整月外場班表!AX24,"00"),CONCATENATE(INT(整月外場班表!AX24),"30"))</f>
        <v>00</v>
      </c>
      <c r="AY24" s="24" t="str">
        <f>IF(MOD(整月外場班表!AY24,1)=0,CONCATENATE(整月外場班表!AY24,"00"),CONCATENATE(INT(整月外場班表!AY24),"30"))</f>
        <v>00</v>
      </c>
      <c r="AZ24" s="23" t="str">
        <f>IF(MOD(整月外場班表!AZ24,1)=0,CONCATENATE(整月外場班表!AZ24,"00"),CONCATENATE(INT(整月外場班表!AZ24),"30"))</f>
        <v>00</v>
      </c>
      <c r="BA24" s="24" t="str">
        <f>IF(MOD(整月外場班表!BA24,1)=0,CONCATENATE(整月外場班表!BA24,"00"),CONCATENATE(INT(整月外場班表!BA24),"30"))</f>
        <v>00</v>
      </c>
      <c r="BB24" s="23" t="str">
        <f>IF(MOD(整月外場班表!BB24,1)=0,CONCATENATE(整月外場班表!BB24,"00"),CONCATENATE(INT(整月外場班表!BB24),"30"))</f>
        <v>00</v>
      </c>
      <c r="BC24" s="24" t="str">
        <f>IF(MOD(整月外場班表!BC24,1)=0,CONCATENATE(整月外場班表!BC24,"00"),CONCATENATE(INT(整月外場班表!BC24),"30"))</f>
        <v>00</v>
      </c>
      <c r="BD24" s="23" t="str">
        <f>IF(MOD(整月外場班表!BD24,1)=0,CONCATENATE(整月外場班表!BD24,"00"),CONCATENATE(INT(整月外場班表!BD24),"30"))</f>
        <v>00</v>
      </c>
      <c r="BE24" s="24" t="str">
        <f>IF(MOD(整月外場班表!BE24,1)=0,CONCATENATE(整月外場班表!BE24,"00"),CONCATENATE(INT(整月外場班表!BE24),"30"))</f>
        <v>00</v>
      </c>
      <c r="BF24" s="23" t="str">
        <f>IF(MOD(整月外場班表!BF24,1)=0,CONCATENATE(整月外場班表!BF24,"00"),CONCATENATE(INT(整月外場班表!BF24),"30"))</f>
        <v>00</v>
      </c>
      <c r="BG24" s="24" t="str">
        <f>IF(MOD(整月外場班表!BG24,1)=0,CONCATENATE(整月外場班表!BG24,"00"),CONCATENATE(INT(整月外場班表!BG24),"30"))</f>
        <v>00</v>
      </c>
      <c r="BH24" s="23" t="str">
        <f>IF(MOD(整月外場班表!BH24,1)=0,CONCATENATE(整月外場班表!BH24,"00"),CONCATENATE(INT(整月外場班表!BH24),"30"))</f>
        <v>00</v>
      </c>
      <c r="BI24" s="24" t="str">
        <f>IF(MOD(整月外場班表!BI24,1)=0,CONCATENATE(整月外場班表!BI24,"00"),CONCATENATE(INT(整月外場班表!BI24),"30"))</f>
        <v>00</v>
      </c>
      <c r="BJ24" s="23" t="str">
        <f>IF(MOD(整月外場班表!BJ24,1)=0,CONCATENATE(整月外場班表!BJ24,"00"),CONCATENATE(INT(整月外場班表!BJ24),"30"))</f>
        <v>00</v>
      </c>
      <c r="BK24" s="24" t="str">
        <f>IF(MOD(整月外場班表!BK24,1)=0,CONCATENATE(整月外場班表!BK24,"00"),CONCATENATE(INT(整月外場班表!BK24),"30"))</f>
        <v>00</v>
      </c>
      <c r="BL24" s="23" t="str">
        <f>IF(MOD(整月外場班表!BL24,1)=0,CONCATENATE(整月外場班表!BL24,"00"),CONCATENATE(INT(整月外場班表!BL24),"30"))</f>
        <v>00</v>
      </c>
      <c r="BM24" s="24" t="str">
        <f>IF(MOD(整月外場班表!BM24,1)=0,CONCATENATE(整月外場班表!BM24,"00"),CONCATENATE(INT(整月外場班表!BM24),"30"))</f>
        <v>00</v>
      </c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ht="15" thickBot="1">
      <c r="A25" s="84"/>
      <c r="B25" s="86"/>
      <c r="C25" s="94"/>
      <c r="D25" s="25" t="str">
        <f>IF(MOD(整月外場班表!D25,1)=0,CONCATENATE(整月外場班表!D25,"00"),CONCATENATE(INT(整月外場班表!D25),"30"))</f>
        <v>00</v>
      </c>
      <c r="E25" s="26" t="str">
        <f>IF(MOD(整月外場班表!E25,1)=0,CONCATENATE(整月外場班表!E25,"00"),CONCATENATE(INT(整月外場班表!E25),"30"))</f>
        <v>00</v>
      </c>
      <c r="F25" s="25" t="str">
        <f>IF(MOD(整月外場班表!F25,1)=0,CONCATENATE(整月外場班表!F25,"00"),CONCATENATE(INT(整月外場班表!F25),"30"))</f>
        <v>00</v>
      </c>
      <c r="G25" s="26" t="str">
        <f>IF(MOD(整月外場班表!G25,1)=0,CONCATENATE(整月外場班表!G25,"00"),CONCATENATE(INT(整月外場班表!G25),"30"))</f>
        <v>00</v>
      </c>
      <c r="H25" s="25" t="str">
        <f>IF(MOD(整月外場班表!H25,1)=0,CONCATENATE(整月外場班表!H25,"00"),CONCATENATE(INT(整月外場班表!H25),"30"))</f>
        <v>00</v>
      </c>
      <c r="I25" s="26" t="str">
        <f>IF(MOD(整月外場班表!I25,1)=0,CONCATENATE(整月外場班表!I25,"00"),CONCATENATE(INT(整月外場班表!I25),"30"))</f>
        <v>00</v>
      </c>
      <c r="J25" s="25" t="str">
        <f>IF(MOD(整月外場班表!J25,1)=0,CONCATENATE(整月外場班表!J25,"00"),CONCATENATE(INT(整月外場班表!J25),"30"))</f>
        <v>00</v>
      </c>
      <c r="K25" s="26" t="str">
        <f>IF(MOD(整月外場班表!K25,1)=0,CONCATENATE(整月外場班表!K25,"00"),CONCATENATE(INT(整月外場班表!K25),"30"))</f>
        <v>00</v>
      </c>
      <c r="L25" s="25" t="str">
        <f>IF(MOD(整月外場班表!L25,1)=0,CONCATENATE(整月外場班表!L25,"00"),CONCATENATE(INT(整月外場班表!L25),"30"))</f>
        <v>00</v>
      </c>
      <c r="M25" s="26" t="str">
        <f>IF(MOD(整月外場班表!M25,1)=0,CONCATENATE(整月外場班表!M25,"00"),CONCATENATE(INT(整月外場班表!M25),"30"))</f>
        <v>00</v>
      </c>
      <c r="N25" s="25" t="str">
        <f>IF(MOD(整月外場班表!N25,1)=0,CONCATENATE(整月外場班表!N25,"00"),CONCATENATE(INT(整月外場班表!N25),"30"))</f>
        <v>00</v>
      </c>
      <c r="O25" s="26" t="str">
        <f>IF(MOD(整月外場班表!O25,1)=0,CONCATENATE(整月外場班表!O25,"00"),CONCATENATE(INT(整月外場班表!O25),"30"))</f>
        <v>00</v>
      </c>
      <c r="P25" s="25" t="str">
        <f>IF(MOD(整月外場班表!P25,1)=0,CONCATENATE(整月外場班表!P25,"00"),CONCATENATE(INT(整月外場班表!P25),"30"))</f>
        <v>00</v>
      </c>
      <c r="Q25" s="26" t="str">
        <f>IF(MOD(整月外場班表!Q25,1)=0,CONCATENATE(整月外場班表!Q25,"00"),CONCATENATE(INT(整月外場班表!Q25),"30"))</f>
        <v>00</v>
      </c>
      <c r="R25" s="25" t="str">
        <f>IF(MOD(整月外場班表!R25,1)=0,CONCATENATE(整月外場班表!R25,"00"),CONCATENATE(INT(整月外場班表!R25),"30"))</f>
        <v>00</v>
      </c>
      <c r="S25" s="26" t="str">
        <f>IF(MOD(整月外場班表!S25,1)=0,CONCATENATE(整月外場班表!S25,"00"),CONCATENATE(INT(整月外場班表!S25),"30"))</f>
        <v>00</v>
      </c>
      <c r="T25" s="25" t="str">
        <f>IF(MOD(整月外場班表!T25,1)=0,CONCATENATE(整月外場班表!T25,"00"),CONCATENATE(INT(整月外場班表!T25),"30"))</f>
        <v>00</v>
      </c>
      <c r="U25" s="26" t="str">
        <f>IF(MOD(整月外場班表!U25,1)=0,CONCATENATE(整月外場班表!U25,"00"),CONCATENATE(INT(整月外場班表!U25),"30"))</f>
        <v>00</v>
      </c>
      <c r="V25" s="25" t="str">
        <f>IF(MOD(整月外場班表!V25,1)=0,CONCATENATE(整月外場班表!V25,"00"),CONCATENATE(INT(整月外場班表!V25),"30"))</f>
        <v>00</v>
      </c>
      <c r="W25" s="26" t="str">
        <f>IF(MOD(整月外場班表!W25,1)=0,CONCATENATE(整月外場班表!W25,"00"),CONCATENATE(INT(整月外場班表!W25),"30"))</f>
        <v>00</v>
      </c>
      <c r="X25" s="25" t="str">
        <f>IF(MOD(整月外場班表!X25,1)=0,CONCATENATE(整月外場班表!X25,"00"),CONCATENATE(INT(整月外場班表!X25),"30"))</f>
        <v>00</v>
      </c>
      <c r="Y25" s="26" t="str">
        <f>IF(MOD(整月外場班表!Y25,1)=0,CONCATENATE(整月外場班表!Y25,"00"),CONCATENATE(INT(整月外場班表!Y25),"30"))</f>
        <v>00</v>
      </c>
      <c r="Z25" s="25" t="str">
        <f>IF(MOD(整月外場班表!Z25,1)=0,CONCATENATE(整月外場班表!Z25,"00"),CONCATENATE(INT(整月外場班表!Z25),"30"))</f>
        <v>00</v>
      </c>
      <c r="AA25" s="26" t="str">
        <f>IF(MOD(整月外場班表!AA25,1)=0,CONCATENATE(整月外場班表!AA25,"00"),CONCATENATE(INT(整月外場班表!AA25),"30"))</f>
        <v>00</v>
      </c>
      <c r="AB25" s="25" t="str">
        <f>IF(MOD(整月外場班表!AB25,1)=0,CONCATENATE(整月外場班表!AB25,"00"),CONCATENATE(INT(整月外場班表!AB25),"30"))</f>
        <v>00</v>
      </c>
      <c r="AC25" s="26" t="str">
        <f>IF(MOD(整月外場班表!AC25,1)=0,CONCATENATE(整月外場班表!AC25,"00"),CONCATENATE(INT(整月外場班表!AC25),"30"))</f>
        <v>00</v>
      </c>
      <c r="AD25" s="25" t="str">
        <f>IF(MOD(整月外場班表!AD25,1)=0,CONCATENATE(整月外場班表!AD25,"00"),CONCATENATE(INT(整月外場班表!AD25),"30"))</f>
        <v>00</v>
      </c>
      <c r="AE25" s="26" t="str">
        <f>IF(MOD(整月外場班表!AE25,1)=0,CONCATENATE(整月外場班表!AE25,"00"),CONCATENATE(INT(整月外場班表!AE25),"30"))</f>
        <v>00</v>
      </c>
      <c r="AF25" s="25" t="str">
        <f>IF(MOD(整月外場班表!AF25,1)=0,CONCATENATE(整月外場班表!AF25,"00"),CONCATENATE(INT(整月外場班表!AF25),"30"))</f>
        <v>00</v>
      </c>
      <c r="AG25" s="26" t="str">
        <f>IF(MOD(整月外場班表!AG25,1)=0,CONCATENATE(整月外場班表!AG25,"00"),CONCATENATE(INT(整月外場班表!AG25),"30"))</f>
        <v>00</v>
      </c>
      <c r="AH25" s="25" t="str">
        <f>IF(MOD(整月外場班表!AH25,1)=0,CONCATENATE(整月外場班表!AH25,"00"),CONCATENATE(INT(整月外場班表!AH25),"30"))</f>
        <v>00</v>
      </c>
      <c r="AI25" s="26" t="str">
        <f>IF(MOD(整月外場班表!AI25,1)=0,CONCATENATE(整月外場班表!AI25,"00"),CONCATENATE(INT(整月外場班表!AI25),"30"))</f>
        <v>00</v>
      </c>
      <c r="AJ25" s="25" t="str">
        <f>IF(MOD(整月外場班表!AJ25,1)=0,CONCATENATE(整月外場班表!AJ25,"00"),CONCATENATE(INT(整月外場班表!AJ25),"30"))</f>
        <v>00</v>
      </c>
      <c r="AK25" s="26" t="str">
        <f>IF(MOD(整月外場班表!AK25,1)=0,CONCATENATE(整月外場班表!AK25,"00"),CONCATENATE(INT(整月外場班表!AK25),"30"))</f>
        <v>00</v>
      </c>
      <c r="AL25" s="25" t="str">
        <f>IF(MOD(整月外場班表!AL25,1)=0,CONCATENATE(整月外場班表!AL25,"00"),CONCATENATE(INT(整月外場班表!AL25),"30"))</f>
        <v>00</v>
      </c>
      <c r="AM25" s="26" t="str">
        <f>IF(MOD(整月外場班表!AM25,1)=0,CONCATENATE(整月外場班表!AM25,"00"),CONCATENATE(INT(整月外場班表!AM25),"30"))</f>
        <v>00</v>
      </c>
      <c r="AN25" s="25" t="str">
        <f>IF(MOD(整月外場班表!AN25,1)=0,CONCATENATE(整月外場班表!AN25,"00"),CONCATENATE(INT(整月外場班表!AN25),"30"))</f>
        <v>00</v>
      </c>
      <c r="AO25" s="26" t="str">
        <f>IF(MOD(整月外場班表!AO25,1)=0,CONCATENATE(整月外場班表!AO25,"00"),CONCATENATE(INT(整月外場班表!AO25),"30"))</f>
        <v>00</v>
      </c>
      <c r="AP25" s="25" t="str">
        <f>IF(MOD(整月外場班表!AP25,1)=0,CONCATENATE(整月外場班表!AP25,"00"),CONCATENATE(INT(整月外場班表!AP25),"30"))</f>
        <v>00</v>
      </c>
      <c r="AQ25" s="26" t="str">
        <f>IF(MOD(整月外場班表!AQ25,1)=0,CONCATENATE(整月外場班表!AQ25,"00"),CONCATENATE(INT(整月外場班表!AQ25),"30"))</f>
        <v>00</v>
      </c>
      <c r="AR25" s="25" t="str">
        <f>IF(MOD(整月外場班表!AR25,1)=0,CONCATENATE(整月外場班表!AR25,"00"),CONCATENATE(INT(整月外場班表!AR25),"30"))</f>
        <v>00</v>
      </c>
      <c r="AS25" s="26" t="str">
        <f>IF(MOD(整月外場班表!AS25,1)=0,CONCATENATE(整月外場班表!AS25,"00"),CONCATENATE(INT(整月外場班表!AS25),"30"))</f>
        <v>00</v>
      </c>
      <c r="AT25" s="25" t="str">
        <f>IF(MOD(整月外場班表!AT25,1)=0,CONCATENATE(整月外場班表!AT25,"00"),CONCATENATE(INT(整月外場班表!AT25),"30"))</f>
        <v>00</v>
      </c>
      <c r="AU25" s="26" t="str">
        <f>IF(MOD(整月外場班表!AU25,1)=0,CONCATENATE(整月外場班表!AU25,"00"),CONCATENATE(INT(整月外場班表!AU25),"30"))</f>
        <v>00</v>
      </c>
      <c r="AV25" s="25" t="str">
        <f>IF(MOD(整月外場班表!AV25,1)=0,CONCATENATE(整月外場班表!AV25,"00"),CONCATENATE(INT(整月外場班表!AV25),"30"))</f>
        <v>00</v>
      </c>
      <c r="AW25" s="26" t="str">
        <f>IF(MOD(整月外場班表!AW25,1)=0,CONCATENATE(整月外場班表!AW25,"00"),CONCATENATE(INT(整月外場班表!AW25),"30"))</f>
        <v>00</v>
      </c>
      <c r="AX25" s="25" t="str">
        <f>IF(MOD(整月外場班表!AX25,1)=0,CONCATENATE(整月外場班表!AX25,"00"),CONCATENATE(INT(整月外場班表!AX25),"30"))</f>
        <v>00</v>
      </c>
      <c r="AY25" s="26" t="str">
        <f>IF(MOD(整月外場班表!AY25,1)=0,CONCATENATE(整月外場班表!AY25,"00"),CONCATENATE(INT(整月外場班表!AY25),"30"))</f>
        <v>00</v>
      </c>
      <c r="AZ25" s="25" t="str">
        <f>IF(MOD(整月外場班表!AZ25,1)=0,CONCATENATE(整月外場班表!AZ25,"00"),CONCATENATE(INT(整月外場班表!AZ25),"30"))</f>
        <v>00</v>
      </c>
      <c r="BA25" s="26" t="str">
        <f>IF(MOD(整月外場班表!BA25,1)=0,CONCATENATE(整月外場班表!BA25,"00"),CONCATENATE(INT(整月外場班表!BA25),"30"))</f>
        <v>00</v>
      </c>
      <c r="BB25" s="25" t="str">
        <f>IF(MOD(整月外場班表!BB25,1)=0,CONCATENATE(整月外場班表!BB25,"00"),CONCATENATE(INT(整月外場班表!BB25),"30"))</f>
        <v>00</v>
      </c>
      <c r="BC25" s="26" t="str">
        <f>IF(MOD(整月外場班表!BC25,1)=0,CONCATENATE(整月外場班表!BC25,"00"),CONCATENATE(INT(整月外場班表!BC25),"30"))</f>
        <v>00</v>
      </c>
      <c r="BD25" s="25" t="str">
        <f>IF(MOD(整月外場班表!BD25,1)=0,CONCATENATE(整月外場班表!BD25,"00"),CONCATENATE(INT(整月外場班表!BD25),"30"))</f>
        <v>00</v>
      </c>
      <c r="BE25" s="26" t="str">
        <f>IF(MOD(整月外場班表!BE25,1)=0,CONCATENATE(整月外場班表!BE25,"00"),CONCATENATE(INT(整月外場班表!BE25),"30"))</f>
        <v>00</v>
      </c>
      <c r="BF25" s="25" t="str">
        <f>IF(MOD(整月外場班表!BF25,1)=0,CONCATENATE(整月外場班表!BF25,"00"),CONCATENATE(INT(整月外場班表!BF25),"30"))</f>
        <v>00</v>
      </c>
      <c r="BG25" s="26" t="str">
        <f>IF(MOD(整月外場班表!BG25,1)=0,CONCATENATE(整月外場班表!BG25,"00"),CONCATENATE(INT(整月外場班表!BG25),"30"))</f>
        <v>00</v>
      </c>
      <c r="BH25" s="25" t="str">
        <f>IF(MOD(整月外場班表!BH25,1)=0,CONCATENATE(整月外場班表!BH25,"00"),CONCATENATE(INT(整月外場班表!BH25),"30"))</f>
        <v>00</v>
      </c>
      <c r="BI25" s="26" t="str">
        <f>IF(MOD(整月外場班表!BI25,1)=0,CONCATENATE(整月外場班表!BI25,"00"),CONCATENATE(INT(整月外場班表!BI25),"30"))</f>
        <v>00</v>
      </c>
      <c r="BJ25" s="25" t="str">
        <f>IF(MOD(整月外場班表!BJ25,1)=0,CONCATENATE(整月外場班表!BJ25,"00"),CONCATENATE(INT(整月外場班表!BJ25),"30"))</f>
        <v>00</v>
      </c>
      <c r="BK25" s="26" t="str">
        <f>IF(MOD(整月外場班表!BK25,1)=0,CONCATENATE(整月外場班表!BK25,"00"),CONCATENATE(INT(整月外場班表!BK25),"30"))</f>
        <v>00</v>
      </c>
      <c r="BL25" s="25" t="str">
        <f>IF(MOD(整月外場班表!BL25,1)=0,CONCATENATE(整月外場班表!BL25,"00"),CONCATENATE(INT(整月外場班表!BL25),"30"))</f>
        <v>00</v>
      </c>
      <c r="BM25" s="26" t="str">
        <f>IF(MOD(整月外場班表!BM25,1)=0,CONCATENATE(整月外場班表!BM25,"00"),CONCATENATE(INT(整月外場班表!BM25),"30"))</f>
        <v>00</v>
      </c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ht="40" customHeight="1" thickBot="1">
      <c r="A26" s="47"/>
      <c r="B26" s="84"/>
      <c r="C26" s="95"/>
      <c r="D26" s="104" t="str" cm="1">
        <f t="array" ref="D26">_xlfn.IFS(AND(D24="00",D25="00"),";H",AND(D24&lt;&gt;"00",D25&lt;&gt;"00"),CONCATENATE(D24,"-",E25,"(",E24,"-",D25,")"),AND(D24="00",D25&lt;&gt;"00"),CONCATENATE(D25,"-",E25),AND(D24&lt;&gt;"00",D25="00"),CONCATENATE(D24,"-",E24))</f>
        <v>;H</v>
      </c>
      <c r="E26" s="105"/>
      <c r="F26" s="104" t="str" cm="1">
        <f t="array" ref="F26">_xlfn.IFS(AND(F24="00",F25="00"),";H",AND(F24&lt;&gt;"00",F25&lt;&gt;"00"),CONCATENATE(F24,"-",G25,"(",G24,"-",F25,")"),AND(F24="00",F25&lt;&gt;"00"),CONCATENATE(F25,"-",G25),AND(F24&lt;&gt;"00",F25="00"),CONCATENATE(F24,"-",G24))</f>
        <v>;H</v>
      </c>
      <c r="G26" s="105"/>
      <c r="H26" s="104" t="str" cm="1">
        <f t="array" ref="H26">_xlfn.IFS(AND(H24="00",H25="00"),";H",AND(H24&lt;&gt;"00",H25&lt;&gt;"00"),CONCATENATE(H24,"-",I25,"(",I24,"-",H25,")"),AND(H24="00",H25&lt;&gt;"00"),CONCATENATE(H25,"-",I25),AND(H24&lt;&gt;"00",H25="00"),CONCATENATE(H24,"-",I24))</f>
        <v>;H</v>
      </c>
      <c r="I26" s="105"/>
      <c r="J26" s="104" t="str" cm="1">
        <f t="array" ref="J26">_xlfn.IFS(AND(J24="00",J25="00"),";H",AND(J24&lt;&gt;"00",J25&lt;&gt;"00"),CONCATENATE(J24,"-",K25,"(",K24,"-",J25,")"),AND(J24="00",J25&lt;&gt;"00"),CONCATENATE(J25,"-",K25),AND(J24&lt;&gt;"00",J25="00"),CONCATENATE(J24,"-",K24))</f>
        <v>;H</v>
      </c>
      <c r="K26" s="105"/>
      <c r="L26" s="104" t="str" cm="1">
        <f t="array" ref="L26">_xlfn.IFS(AND(L24="00",L25="00"),";H",AND(L24&lt;&gt;"00",L25&lt;&gt;"00"),CONCATENATE(L24,"-",M25,"(",M24,"-",L25,")"),AND(L24="00",L25&lt;&gt;"00"),CONCATENATE(L25,"-",M25),AND(L24&lt;&gt;"00",L25="00"),CONCATENATE(L24,"-",M24))</f>
        <v>;H</v>
      </c>
      <c r="M26" s="105"/>
      <c r="N26" s="104" t="str" cm="1">
        <f t="array" ref="N26">_xlfn.IFS(AND(N24="00",N25="00"),";H",AND(N24&lt;&gt;"00",N25&lt;&gt;"00"),CONCATENATE(N24,"-",O25,"(",O24,"-",N25,")"),AND(N24="00",N25&lt;&gt;"00"),CONCATENATE(N25,"-",O25),AND(N24&lt;&gt;"00",N25="00"),CONCATENATE(N24,"-",O24))</f>
        <v>;H</v>
      </c>
      <c r="O26" s="105"/>
      <c r="P26" s="104" t="str" cm="1">
        <f t="array" ref="P26">_xlfn.IFS(AND(P24="00",P25="00"),";H",AND(P24&lt;&gt;"00",P25&lt;&gt;"00"),CONCATENATE(P24,"-",Q25,"(",Q24,"-",P25,")"),AND(P24="00",P25&lt;&gt;"00"),CONCATENATE(P25,"-",Q25),AND(P24&lt;&gt;"00",P25="00"),CONCATENATE(P24,"-",Q24))</f>
        <v>;H</v>
      </c>
      <c r="Q26" s="105"/>
      <c r="R26" s="104" t="str" cm="1">
        <f t="array" ref="R26">_xlfn.IFS(AND(R24="00",R25="00"),";H",AND(R24&lt;&gt;"00",R25&lt;&gt;"00"),CONCATENATE(R24,"-",S25,"(",S24,"-",R25,")"),AND(R24="00",R25&lt;&gt;"00"),CONCATENATE(R25,"-",S25),AND(R24&lt;&gt;"00",R25="00"),CONCATENATE(R24,"-",S24))</f>
        <v>;H</v>
      </c>
      <c r="S26" s="105"/>
      <c r="T26" s="104" t="str" cm="1">
        <f t="array" ref="T26">_xlfn.IFS(AND(T24="00",T25="00"),";H",AND(T24&lt;&gt;"00",T25&lt;&gt;"00"),CONCATENATE(T24,"-",U25,"(",U24,"-",T25,")"),AND(T24="00",T25&lt;&gt;"00"),CONCATENATE(T25,"-",U25),AND(T24&lt;&gt;"00",T25="00"),CONCATENATE(T24,"-",U24))</f>
        <v>;H</v>
      </c>
      <c r="U26" s="105"/>
      <c r="V26" s="104" t="str" cm="1">
        <f t="array" ref="V26">_xlfn.IFS(AND(V24="00",V25="00"),";H",AND(V24&lt;&gt;"00",V25&lt;&gt;"00"),CONCATENATE(V24,"-",W25,"(",W24,"-",V25,")"),AND(V24="00",V25&lt;&gt;"00"),CONCATENATE(V25,"-",W25),AND(V24&lt;&gt;"00",V25="00"),CONCATENATE(V24,"-",W24))</f>
        <v>;H</v>
      </c>
      <c r="W26" s="105"/>
      <c r="X26" s="104" t="str" cm="1">
        <f t="array" ref="X26">_xlfn.IFS(AND(X24="00",X25="00"),";H",AND(X24&lt;&gt;"00",X25&lt;&gt;"00"),CONCATENATE(X24,"-",Y25,"(",Y24,"-",X25,")"),AND(X24="00",X25&lt;&gt;"00"),CONCATENATE(X25,"-",Y25),AND(X24&lt;&gt;"00",X25="00"),CONCATENATE(X24,"-",Y24))</f>
        <v>;H</v>
      </c>
      <c r="Y26" s="105"/>
      <c r="Z26" s="104" t="str" cm="1">
        <f t="array" ref="Z26">_xlfn.IFS(AND(Z24="00",Z25="00"),";H",AND(Z24&lt;&gt;"00",Z25&lt;&gt;"00"),CONCATENATE(Z24,"-",AA25,"(",AA24,"-",Z25,")"),AND(Z24="00",Z25&lt;&gt;"00"),CONCATENATE(Z25,"-",AA25),AND(Z24&lt;&gt;"00",Z25="00"),CONCATENATE(Z24,"-",AA24))</f>
        <v>;H</v>
      </c>
      <c r="AA26" s="105"/>
      <c r="AB26" s="104" t="str" cm="1">
        <f t="array" ref="AB26">_xlfn.IFS(AND(AB24="00",AB25="00"),";H",AND(AB24&lt;&gt;"00",AB25&lt;&gt;"00"),CONCATENATE(AB24,"-",AC25,"(",AC24,"-",AB25,")"),AND(AB24="00",AB25&lt;&gt;"00"),CONCATENATE(AB25,"-",AC25),AND(AB24&lt;&gt;"00",AB25="00"),CONCATENATE(AB24,"-",AC24))</f>
        <v>;H</v>
      </c>
      <c r="AC26" s="105"/>
      <c r="AD26" s="104" t="str" cm="1">
        <f t="array" ref="AD26">_xlfn.IFS(AND(AD24="00",AD25="00"),";H",AND(AD24&lt;&gt;"00",AD25&lt;&gt;"00"),CONCATENATE(AD24,"-",AE25,"(",AE24,"-",AD25,")"),AND(AD24="00",AD25&lt;&gt;"00"),CONCATENATE(AD25,"-",AE25),AND(AD24&lt;&gt;"00",AD25="00"),CONCATENATE(AD24,"-",AE24))</f>
        <v>;H</v>
      </c>
      <c r="AE26" s="105"/>
      <c r="AF26" s="104" t="str" cm="1">
        <f t="array" ref="AF26">_xlfn.IFS(AND(AF24="00",AF25="00"),";H",AND(AF24&lt;&gt;"00",AF25&lt;&gt;"00"),CONCATENATE(AF24,"-",AG25,"(",AG24,"-",AF25,")"),AND(AF24="00",AF25&lt;&gt;"00"),CONCATENATE(AF25,"-",AG25),AND(AF24&lt;&gt;"00",AF25="00"),CONCATENATE(AF24,"-",AG24))</f>
        <v>;H</v>
      </c>
      <c r="AG26" s="105"/>
      <c r="AH26" s="104" t="str" cm="1">
        <f t="array" ref="AH26">_xlfn.IFS(AND(AH24="00",AH25="00"),";H",AND(AH24&lt;&gt;"00",AH25&lt;&gt;"00"),CONCATENATE(AH24,"-",AI25,"(",AI24,"-",AH25,")"),AND(AH24="00",AH25&lt;&gt;"00"),CONCATENATE(AH25,"-",AI25),AND(AH24&lt;&gt;"00",AH25="00"),CONCATENATE(AH24,"-",AI24))</f>
        <v>;H</v>
      </c>
      <c r="AI26" s="105"/>
      <c r="AJ26" s="104" t="str" cm="1">
        <f t="array" ref="AJ26">_xlfn.IFS(AND(AJ24="00",AJ25="00"),";H",AND(AJ24&lt;&gt;"00",AJ25&lt;&gt;"00"),CONCATENATE(AJ24,"-",AK25,"(",AK24,"-",AJ25,")"),AND(AJ24="00",AJ25&lt;&gt;"00"),CONCATENATE(AJ25,"-",AK25),AND(AJ24&lt;&gt;"00",AJ25="00"),CONCATENATE(AJ24,"-",AK24))</f>
        <v>;H</v>
      </c>
      <c r="AK26" s="105"/>
      <c r="AL26" s="104" t="str" cm="1">
        <f t="array" ref="AL26">_xlfn.IFS(AND(AL24="00",AL25="00"),";H",AND(AL24&lt;&gt;"00",AL25&lt;&gt;"00"),CONCATENATE(AL24,"-",AM25,"(",AM24,"-",AL25,")"),AND(AL24="00",AL25&lt;&gt;"00"),CONCATENATE(AL25,"-",AM25),AND(AL24&lt;&gt;"00",AL25="00"),CONCATENATE(AL24,"-",AM24))</f>
        <v>;H</v>
      </c>
      <c r="AM26" s="105"/>
      <c r="AN26" s="104" t="str" cm="1">
        <f t="array" ref="AN26">_xlfn.IFS(AND(AN24="00",AN25="00"),";H",AND(AN24&lt;&gt;"00",AN25&lt;&gt;"00"),CONCATENATE(AN24,"-",AO25,"(",AO24,"-",AN25,")"),AND(AN24="00",AN25&lt;&gt;"00"),CONCATENATE(AN25,"-",AO25),AND(AN24&lt;&gt;"00",AN25="00"),CONCATENATE(AN24,"-",AO24))</f>
        <v>;H</v>
      </c>
      <c r="AO26" s="105"/>
      <c r="AP26" s="104" t="str" cm="1">
        <f t="array" ref="AP26">_xlfn.IFS(AND(AP24="00",AP25="00"),";H",AND(AP24&lt;&gt;"00",AP25&lt;&gt;"00"),CONCATENATE(AP24,"-",AQ25,"(",AQ24,"-",AP25,")"),AND(AP24="00",AP25&lt;&gt;"00"),CONCATENATE(AP25,"-",AQ25),AND(AP24&lt;&gt;"00",AP25="00"),CONCATENATE(AP24,"-",AQ24))</f>
        <v>;H</v>
      </c>
      <c r="AQ26" s="105"/>
      <c r="AR26" s="104" t="str" cm="1">
        <f t="array" ref="AR26">_xlfn.IFS(AND(AR24="00",AR25="00"),";H",AND(AR24&lt;&gt;"00",AR25&lt;&gt;"00"),CONCATENATE(AR24,"-",AS25,"(",AS24,"-",AR25,")"),AND(AR24="00",AR25&lt;&gt;"00"),CONCATENATE(AR25,"-",AS25),AND(AR24&lt;&gt;"00",AR25="00"),CONCATENATE(AR24,"-",AS24))</f>
        <v>;H</v>
      </c>
      <c r="AS26" s="105"/>
      <c r="AT26" s="104" t="str" cm="1">
        <f t="array" ref="AT26">_xlfn.IFS(AND(AT24="00",AT25="00"),";H",AND(AT24&lt;&gt;"00",AT25&lt;&gt;"00"),CONCATENATE(AT24,"-",AU25,"(",AU24,"-",AT25,")"),AND(AT24="00",AT25&lt;&gt;"00"),CONCATENATE(AT25,"-",AU25),AND(AT24&lt;&gt;"00",AT25="00"),CONCATENATE(AT24,"-",AU24))</f>
        <v>;H</v>
      </c>
      <c r="AU26" s="105"/>
      <c r="AV26" s="104" t="str" cm="1">
        <f t="array" ref="AV26">_xlfn.IFS(AND(AV24="00",AV25="00"),";H",AND(AV24&lt;&gt;"00",AV25&lt;&gt;"00"),CONCATENATE(AV24,"-",AW25,"(",AW24,"-",AV25,")"),AND(AV24="00",AV25&lt;&gt;"00"),CONCATENATE(AV25,"-",AW25),AND(AV24&lt;&gt;"00",AV25="00"),CONCATENATE(AV24,"-",AW24))</f>
        <v>;H</v>
      </c>
      <c r="AW26" s="105"/>
      <c r="AX26" s="104" t="str" cm="1">
        <f t="array" ref="AX26">_xlfn.IFS(AND(AX24="00",AX25="00"),";H",AND(AX24&lt;&gt;"00",AX25&lt;&gt;"00"),CONCATENATE(AX24,"-",AY25,"(",AY24,"-",AX25,")"),AND(AX24="00",AX25&lt;&gt;"00"),CONCATENATE(AX25,"-",AY25),AND(AX24&lt;&gt;"00",AX25="00"),CONCATENATE(AX24,"-",AY24))</f>
        <v>;H</v>
      </c>
      <c r="AY26" s="105"/>
      <c r="AZ26" s="104" t="str" cm="1">
        <f t="array" ref="AZ26">_xlfn.IFS(AND(AZ24="00",AZ25="00"),";H",AND(AZ24&lt;&gt;"00",AZ25&lt;&gt;"00"),CONCATENATE(AZ24,"-",BA25,"(",BA24,"-",AZ25,")"),AND(AZ24="00",AZ25&lt;&gt;"00"),CONCATENATE(AZ25,"-",BA25),AND(AZ24&lt;&gt;"00",AZ25="00"),CONCATENATE(AZ24,"-",BA24))</f>
        <v>;H</v>
      </c>
      <c r="BA26" s="105"/>
      <c r="BB26" s="104" t="str" cm="1">
        <f t="array" ref="BB26">_xlfn.IFS(AND(BB24="00",BB25="00"),";H",AND(BB24&lt;&gt;"00",BB25&lt;&gt;"00"),CONCATENATE(BB24,"-",BC25,"(",BC24,"-",BB25,")"),AND(BB24="00",BB25&lt;&gt;"00"),CONCATENATE(BB25,"-",BC25),AND(BB24&lt;&gt;"00",BB25="00"),CONCATENATE(BB24,"-",BC24))</f>
        <v>;H</v>
      </c>
      <c r="BC26" s="105"/>
      <c r="BD26" s="104" t="str" cm="1">
        <f t="array" ref="BD26">_xlfn.IFS(AND(BD24="00",BD25="00"),";H",AND(BD24&lt;&gt;"00",BD25&lt;&gt;"00"),CONCATENATE(BD24,"-",BE25,"(",BE24,"-",BD25,")"),AND(BD24="00",BD25&lt;&gt;"00"),CONCATENATE(BD25,"-",BE25),AND(BD24&lt;&gt;"00",BD25="00"),CONCATENATE(BD24,"-",BE24))</f>
        <v>;H</v>
      </c>
      <c r="BE26" s="105"/>
      <c r="BF26" s="104" t="str" cm="1">
        <f t="array" ref="BF26">_xlfn.IFS(AND(BF24="00",BF25="00"),";H",AND(BF24&lt;&gt;"00",BF25&lt;&gt;"00"),CONCATENATE(BF24,"-",BG25,"(",BG24,"-",BF25,")"),AND(BF24="00",BF25&lt;&gt;"00"),CONCATENATE(BF25,"-",BG25),AND(BF24&lt;&gt;"00",BF25="00"),CONCATENATE(BF24,"-",BG24))</f>
        <v>;H</v>
      </c>
      <c r="BG26" s="105"/>
      <c r="BH26" s="104" t="str" cm="1">
        <f t="array" ref="BH26">_xlfn.IFS(AND(BH24="00",BH25="00"),";H",AND(BH24&lt;&gt;"00",BH25&lt;&gt;"00"),CONCATENATE(BH24,"-",BI25,"(",BI24,"-",BH25,")"),AND(BH24="00",BH25&lt;&gt;"00"),CONCATENATE(BH25,"-",BI25),AND(BH24&lt;&gt;"00",BH25="00"),CONCATENATE(BH24,"-",BI24))</f>
        <v>;H</v>
      </c>
      <c r="BI26" s="105"/>
      <c r="BJ26" s="104" t="str" cm="1">
        <f t="array" ref="BJ26">_xlfn.IFS(AND(BJ24="00",BJ25="00"),";H",AND(BJ24&lt;&gt;"00",BJ25&lt;&gt;"00"),CONCATENATE(BJ24,"-",BK25,"(",BK24,"-",BJ25,")"),AND(BJ24="00",BJ25&lt;&gt;"00"),CONCATENATE(BJ25,"-",BK25),AND(BJ24&lt;&gt;"00",BJ25="00"),CONCATENATE(BJ24,"-",BK24))</f>
        <v>;H</v>
      </c>
      <c r="BK26" s="105"/>
      <c r="BL26" s="104" t="str" cm="1">
        <f t="array" ref="BL26">_xlfn.IFS(AND(BL24="00",BL25="00"),";H",AND(BL24&lt;&gt;"00",BL25&lt;&gt;"00"),CONCATENATE(BL24,"-",BM25,"(",BM24,"-",BL25,")"),AND(BL24="00",BL25&lt;&gt;"00"),CONCATENATE(BL25,"-",BM25),AND(BL24&lt;&gt;"00",BL25="00"),CONCATENATE(BL24,"-",BM24))</f>
        <v>;H</v>
      </c>
      <c r="BM26" s="105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ht="15" thickBot="1">
      <c r="A27" s="83"/>
      <c r="B27" s="145" t="str">
        <f>整月外場班表!B27</f>
        <v>黃先祺</v>
      </c>
      <c r="C27" s="93"/>
      <c r="D27" s="23" t="str">
        <f>IF(MOD(整月外場班表!D27,1)=0,CONCATENATE(整月外場班表!D27,"00"),CONCATENATE(INT(整月外場班表!D27),"30"))</f>
        <v>00</v>
      </c>
      <c r="E27" s="24" t="str">
        <f>IF(MOD(整月外場班表!E27,1)=0,CONCATENATE(整月外場班表!E27,"00"),CONCATENATE(INT(整月外場班表!E27),"30"))</f>
        <v>00</v>
      </c>
      <c r="F27" s="23" t="str">
        <f>IF(MOD(整月外場班表!F27,1)=0,CONCATENATE(整月外場班表!F27,"00"),CONCATENATE(INT(整月外場班表!F27),"30"))</f>
        <v>00</v>
      </c>
      <c r="G27" s="24" t="str">
        <f>IF(MOD(整月外場班表!G27,1)=0,CONCATENATE(整月外場班表!G27,"00"),CONCATENATE(INT(整月外場班表!G27),"30"))</f>
        <v>00</v>
      </c>
      <c r="H27" s="23" t="str">
        <f>IF(MOD(整月外場班表!H27,1)=0,CONCATENATE(整月外場班表!H27,"00"),CONCATENATE(INT(整月外場班表!H27),"30"))</f>
        <v>00</v>
      </c>
      <c r="I27" s="24" t="str">
        <f>IF(MOD(整月外場班表!I27,1)=0,CONCATENATE(整月外場班表!I27,"00"),CONCATENATE(INT(整月外場班表!I27),"30"))</f>
        <v>00</v>
      </c>
      <c r="J27" s="23" t="str">
        <f>IF(MOD(整月外場班表!J27,1)=0,CONCATENATE(整月外場班表!J27,"00"),CONCATENATE(INT(整月外場班表!J27),"30"))</f>
        <v>00</v>
      </c>
      <c r="K27" s="24" t="str">
        <f>IF(MOD(整月外場班表!K27,1)=0,CONCATENATE(整月外場班表!K27,"00"),CONCATENATE(INT(整月外場班表!K27),"30"))</f>
        <v>00</v>
      </c>
      <c r="L27" s="23" t="str">
        <f>IF(MOD(整月外場班表!L27,1)=0,CONCATENATE(整月外場班表!L27,"00"),CONCATENATE(INT(整月外場班表!L27),"30"))</f>
        <v>00</v>
      </c>
      <c r="M27" s="24" t="str">
        <f>IF(MOD(整月外場班表!M27,1)=0,CONCATENATE(整月外場班表!M27,"00"),CONCATENATE(INT(整月外場班表!M27),"30"))</f>
        <v>00</v>
      </c>
      <c r="N27" s="23" t="str">
        <f>IF(MOD(整月外場班表!N27,1)=0,CONCATENATE(整月外場班表!N27,"00"),CONCATENATE(INT(整月外場班表!N27),"30"))</f>
        <v>00</v>
      </c>
      <c r="O27" s="24" t="str">
        <f>IF(MOD(整月外場班表!O27,1)=0,CONCATENATE(整月外場班表!O27,"00"),CONCATENATE(INT(整月外場班表!O27),"30"))</f>
        <v>00</v>
      </c>
      <c r="P27" s="23" t="str">
        <f>IF(MOD(整月外場班表!P27,1)=0,CONCATENATE(整月外場班表!P27,"00"),CONCATENATE(INT(整月外場班表!P27),"30"))</f>
        <v>00</v>
      </c>
      <c r="Q27" s="24" t="str">
        <f>IF(MOD(整月外場班表!Q27,1)=0,CONCATENATE(整月外場班表!Q27,"00"),CONCATENATE(INT(整月外場班表!Q27),"30"))</f>
        <v>00</v>
      </c>
      <c r="R27" s="23" t="str">
        <f>IF(MOD(整月外場班表!R27,1)=0,CONCATENATE(整月外場班表!R27,"00"),CONCATENATE(INT(整月外場班表!R27),"30"))</f>
        <v>00</v>
      </c>
      <c r="S27" s="24" t="str">
        <f>IF(MOD(整月外場班表!S27,1)=0,CONCATENATE(整月外場班表!S27,"00"),CONCATENATE(INT(整月外場班表!S27),"30"))</f>
        <v>00</v>
      </c>
      <c r="T27" s="23" t="str">
        <f>IF(MOD(整月外場班表!T27,1)=0,CONCATENATE(整月外場班表!T27,"00"),CONCATENATE(INT(整月外場班表!T27),"30"))</f>
        <v>00</v>
      </c>
      <c r="U27" s="24" t="str">
        <f>IF(MOD(整月外場班表!U27,1)=0,CONCATENATE(整月外場班表!U27,"00"),CONCATENATE(INT(整月外場班表!U27),"30"))</f>
        <v>00</v>
      </c>
      <c r="V27" s="23" t="str">
        <f>IF(MOD(整月外場班表!V27,1)=0,CONCATENATE(整月外場班表!V27,"00"),CONCATENATE(INT(整月外場班表!V27),"30"))</f>
        <v>00</v>
      </c>
      <c r="W27" s="24" t="str">
        <f>IF(MOD(整月外場班表!W27,1)=0,CONCATENATE(整月外場班表!W27,"00"),CONCATENATE(INT(整月外場班表!W27),"30"))</f>
        <v>00</v>
      </c>
      <c r="X27" s="23" t="str">
        <f>IF(MOD(整月外場班表!X27,1)=0,CONCATENATE(整月外場班表!X27,"00"),CONCATENATE(INT(整月外場班表!X27),"30"))</f>
        <v>00</v>
      </c>
      <c r="Y27" s="24" t="str">
        <f>IF(MOD(整月外場班表!Y27,1)=0,CONCATENATE(整月外場班表!Y27,"00"),CONCATENATE(INT(整月外場班表!Y27),"30"))</f>
        <v>00</v>
      </c>
      <c r="Z27" s="23" t="str">
        <f>IF(MOD(整月外場班表!Z27,1)=0,CONCATENATE(整月外場班表!Z27,"00"),CONCATENATE(INT(整月外場班表!Z27),"30"))</f>
        <v>00</v>
      </c>
      <c r="AA27" s="24" t="str">
        <f>IF(MOD(整月外場班表!AA27,1)=0,CONCATENATE(整月外場班表!AA27,"00"),CONCATENATE(INT(整月外場班表!AA27),"30"))</f>
        <v>00</v>
      </c>
      <c r="AB27" s="23" t="str">
        <f>IF(MOD(整月外場班表!AB27,1)=0,CONCATENATE(整月外場班表!AB27,"00"),CONCATENATE(INT(整月外場班表!AB27),"30"))</f>
        <v>00</v>
      </c>
      <c r="AC27" s="24" t="str">
        <f>IF(MOD(整月外場班表!AC27,1)=0,CONCATENATE(整月外場班表!AC27,"00"),CONCATENATE(INT(整月外場班表!AC27),"30"))</f>
        <v>00</v>
      </c>
      <c r="AD27" s="23" t="str">
        <f>IF(MOD(整月外場班表!AD27,1)=0,CONCATENATE(整月外場班表!AD27,"00"),CONCATENATE(INT(整月外場班表!AD27),"30"))</f>
        <v>00</v>
      </c>
      <c r="AE27" s="24" t="str">
        <f>IF(MOD(整月外場班表!AE27,1)=0,CONCATENATE(整月外場班表!AE27,"00"),CONCATENATE(INT(整月外場班表!AE27),"30"))</f>
        <v>00</v>
      </c>
      <c r="AF27" s="23" t="str">
        <f>IF(MOD(整月外場班表!AF27,1)=0,CONCATENATE(整月外場班表!AF27,"00"),CONCATENATE(INT(整月外場班表!AF27),"30"))</f>
        <v>00</v>
      </c>
      <c r="AG27" s="24" t="str">
        <f>IF(MOD(整月外場班表!AG27,1)=0,CONCATENATE(整月外場班表!AG27,"00"),CONCATENATE(INT(整月外場班表!AG27),"30"))</f>
        <v>00</v>
      </c>
      <c r="AH27" s="23" t="str">
        <f>IF(MOD(整月外場班表!AH27,1)=0,CONCATENATE(整月外場班表!AH27,"00"),CONCATENATE(INT(整月外場班表!AH27),"30"))</f>
        <v>00</v>
      </c>
      <c r="AI27" s="24" t="str">
        <f>IF(MOD(整月外場班表!AI27,1)=0,CONCATENATE(整月外場班表!AI27,"00"),CONCATENATE(INT(整月外場班表!AI27),"30"))</f>
        <v>00</v>
      </c>
      <c r="AJ27" s="23" t="str">
        <f>IF(MOD(整月外場班表!AJ27,1)=0,CONCATENATE(整月外場班表!AJ27,"00"),CONCATENATE(INT(整月外場班表!AJ27),"30"))</f>
        <v>00</v>
      </c>
      <c r="AK27" s="24" t="str">
        <f>IF(MOD(整月外場班表!AK27,1)=0,CONCATENATE(整月外場班表!AK27,"00"),CONCATENATE(INT(整月外場班表!AK27),"30"))</f>
        <v>00</v>
      </c>
      <c r="AL27" s="23" t="str">
        <f>IF(MOD(整月外場班表!AL27,1)=0,CONCATENATE(整月外場班表!AL27,"00"),CONCATENATE(INT(整月外場班表!AL27),"30"))</f>
        <v>00</v>
      </c>
      <c r="AM27" s="24" t="str">
        <f>IF(MOD(整月外場班表!AM27,1)=0,CONCATENATE(整月外場班表!AM27,"00"),CONCATENATE(INT(整月外場班表!AM27),"30"))</f>
        <v>00</v>
      </c>
      <c r="AN27" s="23" t="str">
        <f>IF(MOD(整月外場班表!AN27,1)=0,CONCATENATE(整月外場班表!AN27,"00"),CONCATENATE(INT(整月外場班表!AN27),"30"))</f>
        <v>00</v>
      </c>
      <c r="AO27" s="24" t="str">
        <f>IF(MOD(整月外場班表!AO27,1)=0,CONCATENATE(整月外場班表!AO27,"00"),CONCATENATE(INT(整月外場班表!AO27),"30"))</f>
        <v>00</v>
      </c>
      <c r="AP27" s="23" t="str">
        <f>IF(MOD(整月外場班表!AP27,1)=0,CONCATENATE(整月外場班表!AP27,"00"),CONCATENATE(INT(整月外場班表!AP27),"30"))</f>
        <v>00</v>
      </c>
      <c r="AQ27" s="24" t="str">
        <f>IF(MOD(整月外場班表!AQ27,1)=0,CONCATENATE(整月外場班表!AQ27,"00"),CONCATENATE(INT(整月外場班表!AQ27),"30"))</f>
        <v>00</v>
      </c>
      <c r="AR27" s="23" t="str">
        <f>IF(MOD(整月外場班表!AR27,1)=0,CONCATENATE(整月外場班表!AR27,"00"),CONCATENATE(INT(整月外場班表!AR27),"30"))</f>
        <v>00</v>
      </c>
      <c r="AS27" s="24" t="str">
        <f>IF(MOD(整月外場班表!AS27,1)=0,CONCATENATE(整月外場班表!AS27,"00"),CONCATENATE(INT(整月外場班表!AS27),"30"))</f>
        <v>00</v>
      </c>
      <c r="AT27" s="23" t="str">
        <f>IF(MOD(整月外場班表!AT27,1)=0,CONCATENATE(整月外場班表!AT27,"00"),CONCATENATE(INT(整月外場班表!AT27),"30"))</f>
        <v>00</v>
      </c>
      <c r="AU27" s="24" t="str">
        <f>IF(MOD(整月外場班表!AU27,1)=0,CONCATENATE(整月外場班表!AU27,"00"),CONCATENATE(INT(整月外場班表!AU27),"30"))</f>
        <v>00</v>
      </c>
      <c r="AV27" s="23" t="str">
        <f>IF(MOD(整月外場班表!AV27,1)=0,CONCATENATE(整月外場班表!AV27,"00"),CONCATENATE(INT(整月外場班表!AV27),"30"))</f>
        <v>00</v>
      </c>
      <c r="AW27" s="24" t="str">
        <f>IF(MOD(整月外場班表!AW27,1)=0,CONCATENATE(整月外場班表!AW27,"00"),CONCATENATE(INT(整月外場班表!AW27),"30"))</f>
        <v>00</v>
      </c>
      <c r="AX27" s="23" t="str">
        <f>IF(MOD(整月外場班表!AX27,1)=0,CONCATENATE(整月外場班表!AX27,"00"),CONCATENATE(INT(整月外場班表!AX27),"30"))</f>
        <v>00</v>
      </c>
      <c r="AY27" s="24" t="str">
        <f>IF(MOD(整月外場班表!AY27,1)=0,CONCATENATE(整月外場班表!AY27,"00"),CONCATENATE(INT(整月外場班表!AY27),"30"))</f>
        <v>00</v>
      </c>
      <c r="AZ27" s="23" t="str">
        <f>IF(MOD(整月外場班表!AZ27,1)=0,CONCATENATE(整月外場班表!AZ27,"00"),CONCATENATE(INT(整月外場班表!AZ27),"30"))</f>
        <v>00</v>
      </c>
      <c r="BA27" s="24" t="str">
        <f>IF(MOD(整月外場班表!BA27,1)=0,CONCATENATE(整月外場班表!BA27,"00"),CONCATENATE(INT(整月外場班表!BA27),"30"))</f>
        <v>00</v>
      </c>
      <c r="BB27" s="23" t="str">
        <f>IF(MOD(整月外場班表!BB27,1)=0,CONCATENATE(整月外場班表!BB27,"00"),CONCATENATE(INT(整月外場班表!BB27),"30"))</f>
        <v>00</v>
      </c>
      <c r="BC27" s="24" t="str">
        <f>IF(MOD(整月外場班表!BC27,1)=0,CONCATENATE(整月外場班表!BC27,"00"),CONCATENATE(INT(整月外場班表!BC27),"30"))</f>
        <v>00</v>
      </c>
      <c r="BD27" s="23" t="str">
        <f>IF(MOD(整月外場班表!BD27,1)=0,CONCATENATE(整月外場班表!BD27,"00"),CONCATENATE(INT(整月外場班表!BD27),"30"))</f>
        <v>00</v>
      </c>
      <c r="BE27" s="24" t="str">
        <f>IF(MOD(整月外場班表!BE27,1)=0,CONCATENATE(整月外場班表!BE27,"00"),CONCATENATE(INT(整月外場班表!BE27),"30"))</f>
        <v>00</v>
      </c>
      <c r="BF27" s="23" t="str">
        <f>IF(MOD(整月外場班表!BF27,1)=0,CONCATENATE(整月外場班表!BF27,"00"),CONCATENATE(INT(整月外場班表!BF27),"30"))</f>
        <v>00</v>
      </c>
      <c r="BG27" s="24" t="str">
        <f>IF(MOD(整月外場班表!BG27,1)=0,CONCATENATE(整月外場班表!BG27,"00"),CONCATENATE(INT(整月外場班表!BG27),"30"))</f>
        <v>00</v>
      </c>
      <c r="BH27" s="23" t="str">
        <f>IF(MOD(整月外場班表!BH27,1)=0,CONCATENATE(整月外場班表!BH27,"00"),CONCATENATE(INT(整月外場班表!BH27),"30"))</f>
        <v>00</v>
      </c>
      <c r="BI27" s="24" t="str">
        <f>IF(MOD(整月外場班表!BI27,1)=0,CONCATENATE(整月外場班表!BI27,"00"),CONCATENATE(INT(整月外場班表!BI27),"30"))</f>
        <v>00</v>
      </c>
      <c r="BJ27" s="23" t="str">
        <f>IF(MOD(整月外場班表!BJ27,1)=0,CONCATENATE(整月外場班表!BJ27,"00"),CONCATENATE(INT(整月外場班表!BJ27),"30"))</f>
        <v>00</v>
      </c>
      <c r="BK27" s="24" t="str">
        <f>IF(MOD(整月外場班表!BK27,1)=0,CONCATENATE(整月外場班表!BK27,"00"),CONCATENATE(INT(整月外場班表!BK27),"30"))</f>
        <v>00</v>
      </c>
      <c r="BL27" s="23" t="str">
        <f>IF(MOD(整月外場班表!BL27,1)=0,CONCATENATE(整月外場班表!BL27,"00"),CONCATENATE(INT(整月外場班表!BL27),"30"))</f>
        <v>00</v>
      </c>
      <c r="BM27" s="24" t="str">
        <f>IF(MOD(整月外場班表!BM27,1)=0,CONCATENATE(整月外場班表!BM27,"00"),CONCATENATE(INT(整月外場班表!BM27),"30"))</f>
        <v>00</v>
      </c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</row>
    <row r="28" spans="1:81" ht="15" thickBot="1">
      <c r="A28" s="84"/>
      <c r="B28" s="86"/>
      <c r="C28" s="94"/>
      <c r="D28" s="25" t="str">
        <f>IF(MOD(整月外場班表!D28,1)=0,CONCATENATE(整月外場班表!D28,"00"),CONCATENATE(INT(整月外場班表!D28),"30"))</f>
        <v>00</v>
      </c>
      <c r="E28" s="26" t="str">
        <f>IF(MOD(整月外場班表!E28,1)=0,CONCATENATE(整月外場班表!E28,"00"),CONCATENATE(INT(整月外場班表!E28),"30"))</f>
        <v>00</v>
      </c>
      <c r="F28" s="25" t="str">
        <f>IF(MOD(整月外場班表!F28,1)=0,CONCATENATE(整月外場班表!F28,"00"),CONCATENATE(INT(整月外場班表!F28),"30"))</f>
        <v>00</v>
      </c>
      <c r="G28" s="26" t="str">
        <f>IF(MOD(整月外場班表!G28,1)=0,CONCATENATE(整月外場班表!G28,"00"),CONCATENATE(INT(整月外場班表!G28),"30"))</f>
        <v>00</v>
      </c>
      <c r="H28" s="25" t="str">
        <f>IF(MOD(整月外場班表!H28,1)=0,CONCATENATE(整月外場班表!H28,"00"),CONCATENATE(INT(整月外場班表!H28),"30"))</f>
        <v>00</v>
      </c>
      <c r="I28" s="26" t="str">
        <f>IF(MOD(整月外場班表!I28,1)=0,CONCATENATE(整月外場班表!I28,"00"),CONCATENATE(INT(整月外場班表!I28),"30"))</f>
        <v>00</v>
      </c>
      <c r="J28" s="25" t="str">
        <f>IF(MOD(整月外場班表!J28,1)=0,CONCATENATE(整月外場班表!J28,"00"),CONCATENATE(INT(整月外場班表!J28),"30"))</f>
        <v>00</v>
      </c>
      <c r="K28" s="26" t="str">
        <f>IF(MOD(整月外場班表!K28,1)=0,CONCATENATE(整月外場班表!K28,"00"),CONCATENATE(INT(整月外場班表!K28),"30"))</f>
        <v>00</v>
      </c>
      <c r="L28" s="25" t="str">
        <f>IF(MOD(整月外場班表!L28,1)=0,CONCATENATE(整月外場班表!L28,"00"),CONCATENATE(INT(整月外場班表!L28),"30"))</f>
        <v>00</v>
      </c>
      <c r="M28" s="26" t="str">
        <f>IF(MOD(整月外場班表!M28,1)=0,CONCATENATE(整月外場班表!M28,"00"),CONCATENATE(INT(整月外場班表!M28),"30"))</f>
        <v>00</v>
      </c>
      <c r="N28" s="25" t="str">
        <f>IF(MOD(整月外場班表!N28,1)=0,CONCATENATE(整月外場班表!N28,"00"),CONCATENATE(INT(整月外場班表!N28),"30"))</f>
        <v>00</v>
      </c>
      <c r="O28" s="26" t="str">
        <f>IF(MOD(整月外場班表!O28,1)=0,CONCATENATE(整月外場班表!O28,"00"),CONCATENATE(INT(整月外場班表!O28),"30"))</f>
        <v>00</v>
      </c>
      <c r="P28" s="25" t="str">
        <f>IF(MOD(整月外場班表!P28,1)=0,CONCATENATE(整月外場班表!P28,"00"),CONCATENATE(INT(整月外場班表!P28),"30"))</f>
        <v>00</v>
      </c>
      <c r="Q28" s="26" t="str">
        <f>IF(MOD(整月外場班表!Q28,1)=0,CONCATENATE(整月外場班表!Q28,"00"),CONCATENATE(INT(整月外場班表!Q28),"30"))</f>
        <v>00</v>
      </c>
      <c r="R28" s="25" t="str">
        <f>IF(MOD(整月外場班表!R28,1)=0,CONCATENATE(整月外場班表!R28,"00"),CONCATENATE(INT(整月外場班表!R28),"30"))</f>
        <v>00</v>
      </c>
      <c r="S28" s="26" t="str">
        <f>IF(MOD(整月外場班表!S28,1)=0,CONCATENATE(整月外場班表!S28,"00"),CONCATENATE(INT(整月外場班表!S28),"30"))</f>
        <v>00</v>
      </c>
      <c r="T28" s="25" t="str">
        <f>IF(MOD(整月外場班表!T28,1)=0,CONCATENATE(整月外場班表!T28,"00"),CONCATENATE(INT(整月外場班表!T28),"30"))</f>
        <v>00</v>
      </c>
      <c r="U28" s="26" t="str">
        <f>IF(MOD(整月外場班表!U28,1)=0,CONCATENATE(整月外場班表!U28,"00"),CONCATENATE(INT(整月外場班表!U28),"30"))</f>
        <v>00</v>
      </c>
      <c r="V28" s="25" t="str">
        <f>IF(MOD(整月外場班表!V28,1)=0,CONCATENATE(整月外場班表!V28,"00"),CONCATENATE(INT(整月外場班表!V28),"30"))</f>
        <v>00</v>
      </c>
      <c r="W28" s="26" t="str">
        <f>IF(MOD(整月外場班表!W28,1)=0,CONCATENATE(整月外場班表!W28,"00"),CONCATENATE(INT(整月外場班表!W28),"30"))</f>
        <v>00</v>
      </c>
      <c r="X28" s="25" t="str">
        <f>IF(MOD(整月外場班表!X28,1)=0,CONCATENATE(整月外場班表!X28,"00"),CONCATENATE(INT(整月外場班表!X28),"30"))</f>
        <v>00</v>
      </c>
      <c r="Y28" s="26" t="str">
        <f>IF(MOD(整月外場班表!Y28,1)=0,CONCATENATE(整月外場班表!Y28,"00"),CONCATENATE(INT(整月外場班表!Y28),"30"))</f>
        <v>00</v>
      </c>
      <c r="Z28" s="25" t="str">
        <f>IF(MOD(整月外場班表!Z28,1)=0,CONCATENATE(整月外場班表!Z28,"00"),CONCATENATE(INT(整月外場班表!Z28),"30"))</f>
        <v>00</v>
      </c>
      <c r="AA28" s="26" t="str">
        <f>IF(MOD(整月外場班表!AA28,1)=0,CONCATENATE(整月外場班表!AA28,"00"),CONCATENATE(INT(整月外場班表!AA28),"30"))</f>
        <v>00</v>
      </c>
      <c r="AB28" s="25" t="str">
        <f>IF(MOD(整月外場班表!AB28,1)=0,CONCATENATE(整月外場班表!AB28,"00"),CONCATENATE(INT(整月外場班表!AB28),"30"))</f>
        <v>00</v>
      </c>
      <c r="AC28" s="26" t="str">
        <f>IF(MOD(整月外場班表!AC28,1)=0,CONCATENATE(整月外場班表!AC28,"00"),CONCATENATE(INT(整月外場班表!AC28),"30"))</f>
        <v>00</v>
      </c>
      <c r="AD28" s="25" t="str">
        <f>IF(MOD(整月外場班表!AD28,1)=0,CONCATENATE(整月外場班表!AD28,"00"),CONCATENATE(INT(整月外場班表!AD28),"30"))</f>
        <v>00</v>
      </c>
      <c r="AE28" s="26" t="str">
        <f>IF(MOD(整月外場班表!AE28,1)=0,CONCATENATE(整月外場班表!AE28,"00"),CONCATENATE(INT(整月外場班表!AE28),"30"))</f>
        <v>00</v>
      </c>
      <c r="AF28" s="25" t="str">
        <f>IF(MOD(整月外場班表!AF28,1)=0,CONCATENATE(整月外場班表!AF28,"00"),CONCATENATE(INT(整月外場班表!AF28),"30"))</f>
        <v>00</v>
      </c>
      <c r="AG28" s="26" t="str">
        <f>IF(MOD(整月外場班表!AG28,1)=0,CONCATENATE(整月外場班表!AG28,"00"),CONCATENATE(INT(整月外場班表!AG28),"30"))</f>
        <v>00</v>
      </c>
      <c r="AH28" s="25" t="str">
        <f>IF(MOD(整月外場班表!AH28,1)=0,CONCATENATE(整月外場班表!AH28,"00"),CONCATENATE(INT(整月外場班表!AH28),"30"))</f>
        <v>00</v>
      </c>
      <c r="AI28" s="26" t="str">
        <f>IF(MOD(整月外場班表!AI28,1)=0,CONCATENATE(整月外場班表!AI28,"00"),CONCATENATE(INT(整月外場班表!AI28),"30"))</f>
        <v>00</v>
      </c>
      <c r="AJ28" s="25" t="str">
        <f>IF(MOD(整月外場班表!AJ28,1)=0,CONCATENATE(整月外場班表!AJ28,"00"),CONCATENATE(INT(整月外場班表!AJ28),"30"))</f>
        <v>00</v>
      </c>
      <c r="AK28" s="26" t="str">
        <f>IF(MOD(整月外場班表!AK28,1)=0,CONCATENATE(整月外場班表!AK28,"00"),CONCATENATE(INT(整月外場班表!AK28),"30"))</f>
        <v>00</v>
      </c>
      <c r="AL28" s="25" t="str">
        <f>IF(MOD(整月外場班表!AL28,1)=0,CONCATENATE(整月外場班表!AL28,"00"),CONCATENATE(INT(整月外場班表!AL28),"30"))</f>
        <v>00</v>
      </c>
      <c r="AM28" s="26" t="str">
        <f>IF(MOD(整月外場班表!AM28,1)=0,CONCATENATE(整月外場班表!AM28,"00"),CONCATENATE(INT(整月外場班表!AM28),"30"))</f>
        <v>00</v>
      </c>
      <c r="AN28" s="25" t="str">
        <f>IF(MOD(整月外場班表!AN28,1)=0,CONCATENATE(整月外場班表!AN28,"00"),CONCATENATE(INT(整月外場班表!AN28),"30"))</f>
        <v>00</v>
      </c>
      <c r="AO28" s="26" t="str">
        <f>IF(MOD(整月外場班表!AO28,1)=0,CONCATENATE(整月外場班表!AO28,"00"),CONCATENATE(INT(整月外場班表!AO28),"30"))</f>
        <v>00</v>
      </c>
      <c r="AP28" s="25" t="str">
        <f>IF(MOD(整月外場班表!AP28,1)=0,CONCATENATE(整月外場班表!AP28,"00"),CONCATENATE(INT(整月外場班表!AP28),"30"))</f>
        <v>00</v>
      </c>
      <c r="AQ28" s="26" t="str">
        <f>IF(MOD(整月外場班表!AQ28,1)=0,CONCATENATE(整月外場班表!AQ28,"00"),CONCATENATE(INT(整月外場班表!AQ28),"30"))</f>
        <v>00</v>
      </c>
      <c r="AR28" s="25" t="str">
        <f>IF(MOD(整月外場班表!AR28,1)=0,CONCATENATE(整月外場班表!AR28,"00"),CONCATENATE(INT(整月外場班表!AR28),"30"))</f>
        <v>00</v>
      </c>
      <c r="AS28" s="26" t="str">
        <f>IF(MOD(整月外場班表!AS28,1)=0,CONCATENATE(整月外場班表!AS28,"00"),CONCATENATE(INT(整月外場班表!AS28),"30"))</f>
        <v>00</v>
      </c>
      <c r="AT28" s="25" t="str">
        <f>IF(MOD(整月外場班表!AT28,1)=0,CONCATENATE(整月外場班表!AT28,"00"),CONCATENATE(INT(整月外場班表!AT28),"30"))</f>
        <v>00</v>
      </c>
      <c r="AU28" s="26" t="str">
        <f>IF(MOD(整月外場班表!AU28,1)=0,CONCATENATE(整月外場班表!AU28,"00"),CONCATENATE(INT(整月外場班表!AU28),"30"))</f>
        <v>00</v>
      </c>
      <c r="AV28" s="25" t="str">
        <f>IF(MOD(整月外場班表!AV28,1)=0,CONCATENATE(整月外場班表!AV28,"00"),CONCATENATE(INT(整月外場班表!AV28),"30"))</f>
        <v>00</v>
      </c>
      <c r="AW28" s="26" t="str">
        <f>IF(MOD(整月外場班表!AW28,1)=0,CONCATENATE(整月外場班表!AW28,"00"),CONCATENATE(INT(整月外場班表!AW28),"30"))</f>
        <v>00</v>
      </c>
      <c r="AX28" s="25" t="str">
        <f>IF(MOD(整月外場班表!AX28,1)=0,CONCATENATE(整月外場班表!AX28,"00"),CONCATENATE(INT(整月外場班表!AX28),"30"))</f>
        <v>00</v>
      </c>
      <c r="AY28" s="26" t="str">
        <f>IF(MOD(整月外場班表!AY28,1)=0,CONCATENATE(整月外場班表!AY28,"00"),CONCATENATE(INT(整月外場班表!AY28),"30"))</f>
        <v>00</v>
      </c>
      <c r="AZ28" s="25" t="str">
        <f>IF(MOD(整月外場班表!AZ28,1)=0,CONCATENATE(整月外場班表!AZ28,"00"),CONCATENATE(INT(整月外場班表!AZ28),"30"))</f>
        <v>00</v>
      </c>
      <c r="BA28" s="26" t="str">
        <f>IF(MOD(整月外場班表!BA28,1)=0,CONCATENATE(整月外場班表!BA28,"00"),CONCATENATE(INT(整月外場班表!BA28),"30"))</f>
        <v>00</v>
      </c>
      <c r="BB28" s="25" t="str">
        <f>IF(MOD(整月外場班表!BB28,1)=0,CONCATENATE(整月外場班表!BB28,"00"),CONCATENATE(INT(整月外場班表!BB28),"30"))</f>
        <v>00</v>
      </c>
      <c r="BC28" s="26" t="str">
        <f>IF(MOD(整月外場班表!BC28,1)=0,CONCATENATE(整月外場班表!BC28,"00"),CONCATENATE(INT(整月外場班表!BC28),"30"))</f>
        <v>00</v>
      </c>
      <c r="BD28" s="25" t="str">
        <f>IF(MOD(整月外場班表!BD28,1)=0,CONCATENATE(整月外場班表!BD28,"00"),CONCATENATE(INT(整月外場班表!BD28),"30"))</f>
        <v>00</v>
      </c>
      <c r="BE28" s="26" t="str">
        <f>IF(MOD(整月外場班表!BE28,1)=0,CONCATENATE(整月外場班表!BE28,"00"),CONCATENATE(INT(整月外場班表!BE28),"30"))</f>
        <v>00</v>
      </c>
      <c r="BF28" s="25" t="str">
        <f>IF(MOD(整月外場班表!BF28,1)=0,CONCATENATE(整月外場班表!BF28,"00"),CONCATENATE(INT(整月外場班表!BF28),"30"))</f>
        <v>00</v>
      </c>
      <c r="BG28" s="26" t="str">
        <f>IF(MOD(整月外場班表!BG28,1)=0,CONCATENATE(整月外場班表!BG28,"00"),CONCATENATE(INT(整月外場班表!BG28),"30"))</f>
        <v>00</v>
      </c>
      <c r="BH28" s="25" t="str">
        <f>IF(MOD(整月外場班表!BH28,1)=0,CONCATENATE(整月外場班表!BH28,"00"),CONCATENATE(INT(整月外場班表!BH28),"30"))</f>
        <v>00</v>
      </c>
      <c r="BI28" s="26" t="str">
        <f>IF(MOD(整月外場班表!BI28,1)=0,CONCATENATE(整月外場班表!BI28,"00"),CONCATENATE(INT(整月外場班表!BI28),"30"))</f>
        <v>00</v>
      </c>
      <c r="BJ28" s="25" t="str">
        <f>IF(MOD(整月外場班表!BJ28,1)=0,CONCATENATE(整月外場班表!BJ28,"00"),CONCATENATE(INT(整月外場班表!BJ28),"30"))</f>
        <v>00</v>
      </c>
      <c r="BK28" s="26" t="str">
        <f>IF(MOD(整月外場班表!BK28,1)=0,CONCATENATE(整月外場班表!BK28,"00"),CONCATENATE(INT(整月外場班表!BK28),"30"))</f>
        <v>00</v>
      </c>
      <c r="BL28" s="25" t="str">
        <f>IF(MOD(整月外場班表!BL28,1)=0,CONCATENATE(整月外場班表!BL28,"00"),CONCATENATE(INT(整月外場班表!BL28),"30"))</f>
        <v>00</v>
      </c>
      <c r="BM28" s="26" t="str">
        <f>IF(MOD(整月外場班表!BM28,1)=0,CONCATENATE(整月外場班表!BM28,"00"),CONCATENATE(INT(整月外場班表!BM28),"30"))</f>
        <v>00</v>
      </c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ht="40" customHeight="1" thickBot="1">
      <c r="A29" s="47"/>
      <c r="B29" s="84"/>
      <c r="C29" s="95"/>
      <c r="D29" s="104" t="str" cm="1">
        <f t="array" ref="D29">_xlfn.IFS(AND(D27="00",D28="00"),";H",AND(D27&lt;&gt;"00",D28&lt;&gt;"00"),CONCATENATE(D27,"-",E28,"(",E27,"-",D28,")"),AND(D27="00",D28&lt;&gt;"00"),CONCATENATE(D28,"-",E28),AND(D27&lt;&gt;"00",D28="00"),CONCATENATE(D27,"-",E27))</f>
        <v>;H</v>
      </c>
      <c r="E29" s="105"/>
      <c r="F29" s="104" t="str" cm="1">
        <f t="array" ref="F29">_xlfn.IFS(AND(F27="00",F28="00"),";H",AND(F27&lt;&gt;"00",F28&lt;&gt;"00"),CONCATENATE(F27,"-",G28,"(",G27,"-",F28,")"),AND(F27="00",F28&lt;&gt;"00"),CONCATENATE(F28,"-",G28),AND(F27&lt;&gt;"00",F28="00"),CONCATENATE(F27,"-",G27))</f>
        <v>;H</v>
      </c>
      <c r="G29" s="105"/>
      <c r="H29" s="104" t="str" cm="1">
        <f t="array" ref="H29">_xlfn.IFS(AND(H27="00",H28="00"),";H",AND(H27&lt;&gt;"00",H28&lt;&gt;"00"),CONCATENATE(H27,"-",I28,"(",I27,"-",H28,")"),AND(H27="00",H28&lt;&gt;"00"),CONCATENATE(H28,"-",I28),AND(H27&lt;&gt;"00",H28="00"),CONCATENATE(H27,"-",I27))</f>
        <v>;H</v>
      </c>
      <c r="I29" s="105"/>
      <c r="J29" s="104" t="str" cm="1">
        <f t="array" ref="J29">_xlfn.IFS(AND(J27="00",J28="00"),";H",AND(J27&lt;&gt;"00",J28&lt;&gt;"00"),CONCATENATE(J27,"-",K28,"(",K27,"-",J28,")"),AND(J27="00",J28&lt;&gt;"00"),CONCATENATE(J28,"-",K28),AND(J27&lt;&gt;"00",J28="00"),CONCATENATE(J27,"-",K27))</f>
        <v>;H</v>
      </c>
      <c r="K29" s="105"/>
      <c r="L29" s="104" t="str" cm="1">
        <f t="array" ref="L29">_xlfn.IFS(AND(L27="00",L28="00"),";H",AND(L27&lt;&gt;"00",L28&lt;&gt;"00"),CONCATENATE(L27,"-",M28,"(",M27,"-",L28,")"),AND(L27="00",L28&lt;&gt;"00"),CONCATENATE(L28,"-",M28),AND(L27&lt;&gt;"00",L28="00"),CONCATENATE(L27,"-",M27))</f>
        <v>;H</v>
      </c>
      <c r="M29" s="105"/>
      <c r="N29" s="104" t="str" cm="1">
        <f t="array" ref="N29">_xlfn.IFS(AND(N27="00",N28="00"),";H",AND(N27&lt;&gt;"00",N28&lt;&gt;"00"),CONCATENATE(N27,"-",O28,"(",O27,"-",N28,")"),AND(N27="00",N28&lt;&gt;"00"),CONCATENATE(N28,"-",O28),AND(N27&lt;&gt;"00",N28="00"),CONCATENATE(N27,"-",O27))</f>
        <v>;H</v>
      </c>
      <c r="O29" s="105"/>
      <c r="P29" s="104" t="str" cm="1">
        <f t="array" ref="P29">_xlfn.IFS(AND(P27="00",P28="00"),";H",AND(P27&lt;&gt;"00",P28&lt;&gt;"00"),CONCATENATE(P27,"-",Q28,"(",Q27,"-",P28,")"),AND(P27="00",P28&lt;&gt;"00"),CONCATENATE(P28,"-",Q28),AND(P27&lt;&gt;"00",P28="00"),CONCATENATE(P27,"-",Q27))</f>
        <v>;H</v>
      </c>
      <c r="Q29" s="105"/>
      <c r="R29" s="104" t="str" cm="1">
        <f t="array" ref="R29">_xlfn.IFS(AND(R27="00",R28="00"),";H",AND(R27&lt;&gt;"00",R28&lt;&gt;"00"),CONCATENATE(R27,"-",S28,"(",S27,"-",R28,")"),AND(R27="00",R28&lt;&gt;"00"),CONCATENATE(R28,"-",S28),AND(R27&lt;&gt;"00",R28="00"),CONCATENATE(R27,"-",S27))</f>
        <v>;H</v>
      </c>
      <c r="S29" s="105"/>
      <c r="T29" s="104" t="str" cm="1">
        <f t="array" ref="T29">_xlfn.IFS(AND(T27="00",T28="00"),";H",AND(T27&lt;&gt;"00",T28&lt;&gt;"00"),CONCATENATE(T27,"-",U28,"(",U27,"-",T28,")"),AND(T27="00",T28&lt;&gt;"00"),CONCATENATE(T28,"-",U28),AND(T27&lt;&gt;"00",T28="00"),CONCATENATE(T27,"-",U27))</f>
        <v>;H</v>
      </c>
      <c r="U29" s="105"/>
      <c r="V29" s="104" t="str" cm="1">
        <f t="array" ref="V29">_xlfn.IFS(AND(V27="00",V28="00"),";H",AND(V27&lt;&gt;"00",V28&lt;&gt;"00"),CONCATENATE(V27,"-",W28,"(",W27,"-",V28,")"),AND(V27="00",V28&lt;&gt;"00"),CONCATENATE(V28,"-",W28),AND(V27&lt;&gt;"00",V28="00"),CONCATENATE(V27,"-",W27))</f>
        <v>;H</v>
      </c>
      <c r="W29" s="105"/>
      <c r="X29" s="104" t="str" cm="1">
        <f t="array" ref="X29">_xlfn.IFS(AND(X27="00",X28="00"),";H",AND(X27&lt;&gt;"00",X28&lt;&gt;"00"),CONCATENATE(X27,"-",Y28,"(",Y27,"-",X28,")"),AND(X27="00",X28&lt;&gt;"00"),CONCATENATE(X28,"-",Y28),AND(X27&lt;&gt;"00",X28="00"),CONCATENATE(X27,"-",Y27))</f>
        <v>;H</v>
      </c>
      <c r="Y29" s="105"/>
      <c r="Z29" s="104" t="str" cm="1">
        <f t="array" ref="Z29">_xlfn.IFS(AND(Z27="00",Z28="00"),";H",AND(Z27&lt;&gt;"00",Z28&lt;&gt;"00"),CONCATENATE(Z27,"-",AA28,"(",AA27,"-",Z28,")"),AND(Z27="00",Z28&lt;&gt;"00"),CONCATENATE(Z28,"-",AA28),AND(Z27&lt;&gt;"00",Z28="00"),CONCATENATE(Z27,"-",AA27))</f>
        <v>;H</v>
      </c>
      <c r="AA29" s="105"/>
      <c r="AB29" s="104" t="str" cm="1">
        <f t="array" ref="AB29">_xlfn.IFS(AND(AB27="00",AB28="00"),";H",AND(AB27&lt;&gt;"00",AB28&lt;&gt;"00"),CONCATENATE(AB27,"-",AC28,"(",AC27,"-",AB28,")"),AND(AB27="00",AB28&lt;&gt;"00"),CONCATENATE(AB28,"-",AC28),AND(AB27&lt;&gt;"00",AB28="00"),CONCATENATE(AB27,"-",AC27))</f>
        <v>;H</v>
      </c>
      <c r="AC29" s="105"/>
      <c r="AD29" s="104" t="str" cm="1">
        <f t="array" ref="AD29">_xlfn.IFS(AND(AD27="00",AD28="00"),";H",AND(AD27&lt;&gt;"00",AD28&lt;&gt;"00"),CONCATENATE(AD27,"-",AE28,"(",AE27,"-",AD28,")"),AND(AD27="00",AD28&lt;&gt;"00"),CONCATENATE(AD28,"-",AE28),AND(AD27&lt;&gt;"00",AD28="00"),CONCATENATE(AD27,"-",AE27))</f>
        <v>;H</v>
      </c>
      <c r="AE29" s="105"/>
      <c r="AF29" s="104" t="str" cm="1">
        <f t="array" ref="AF29">_xlfn.IFS(AND(AF27="00",AF28="00"),";H",AND(AF27&lt;&gt;"00",AF28&lt;&gt;"00"),CONCATENATE(AF27,"-",AG28,"(",AG27,"-",AF28,")"),AND(AF27="00",AF28&lt;&gt;"00"),CONCATENATE(AF28,"-",AG28),AND(AF27&lt;&gt;"00",AF28="00"),CONCATENATE(AF27,"-",AG27))</f>
        <v>;H</v>
      </c>
      <c r="AG29" s="105"/>
      <c r="AH29" s="104" t="str" cm="1">
        <f t="array" ref="AH29">_xlfn.IFS(AND(AH27="00",AH28="00"),";H",AND(AH27&lt;&gt;"00",AH28&lt;&gt;"00"),CONCATENATE(AH27,"-",AI28,"(",AI27,"-",AH28,")"),AND(AH27="00",AH28&lt;&gt;"00"),CONCATENATE(AH28,"-",AI28),AND(AH27&lt;&gt;"00",AH28="00"),CONCATENATE(AH27,"-",AI27))</f>
        <v>;H</v>
      </c>
      <c r="AI29" s="105"/>
      <c r="AJ29" s="104" t="str" cm="1">
        <f t="array" ref="AJ29">_xlfn.IFS(AND(AJ27="00",AJ28="00"),";H",AND(AJ27&lt;&gt;"00",AJ28&lt;&gt;"00"),CONCATENATE(AJ27,"-",AK28,"(",AK27,"-",AJ28,")"),AND(AJ27="00",AJ28&lt;&gt;"00"),CONCATENATE(AJ28,"-",AK28),AND(AJ27&lt;&gt;"00",AJ28="00"),CONCATENATE(AJ27,"-",AK27))</f>
        <v>;H</v>
      </c>
      <c r="AK29" s="105"/>
      <c r="AL29" s="104" t="str" cm="1">
        <f t="array" ref="AL29">_xlfn.IFS(AND(AL27="00",AL28="00"),";H",AND(AL27&lt;&gt;"00",AL28&lt;&gt;"00"),CONCATENATE(AL27,"-",AM28,"(",AM27,"-",AL28,")"),AND(AL27="00",AL28&lt;&gt;"00"),CONCATENATE(AL28,"-",AM28),AND(AL27&lt;&gt;"00",AL28="00"),CONCATENATE(AL27,"-",AM27))</f>
        <v>;H</v>
      </c>
      <c r="AM29" s="105"/>
      <c r="AN29" s="104" t="str" cm="1">
        <f t="array" ref="AN29">_xlfn.IFS(AND(AN27="00",AN28="00"),";H",AND(AN27&lt;&gt;"00",AN28&lt;&gt;"00"),CONCATENATE(AN27,"-",AO28,"(",AO27,"-",AN28,")"),AND(AN27="00",AN28&lt;&gt;"00"),CONCATENATE(AN28,"-",AO28),AND(AN27&lt;&gt;"00",AN28="00"),CONCATENATE(AN27,"-",AO27))</f>
        <v>;H</v>
      </c>
      <c r="AO29" s="105"/>
      <c r="AP29" s="104" t="str" cm="1">
        <f t="array" ref="AP29">_xlfn.IFS(AND(AP27="00",AP28="00"),";H",AND(AP27&lt;&gt;"00",AP28&lt;&gt;"00"),CONCATENATE(AP27,"-",AQ28,"(",AQ27,"-",AP28,")"),AND(AP27="00",AP28&lt;&gt;"00"),CONCATENATE(AP28,"-",AQ28),AND(AP27&lt;&gt;"00",AP28="00"),CONCATENATE(AP27,"-",AQ27))</f>
        <v>;H</v>
      </c>
      <c r="AQ29" s="105"/>
      <c r="AR29" s="104" t="str" cm="1">
        <f t="array" ref="AR29">_xlfn.IFS(AND(AR27="00",AR28="00"),";H",AND(AR27&lt;&gt;"00",AR28&lt;&gt;"00"),CONCATENATE(AR27,"-",AS28,"(",AS27,"-",AR28,")"),AND(AR27="00",AR28&lt;&gt;"00"),CONCATENATE(AR28,"-",AS28),AND(AR27&lt;&gt;"00",AR28="00"),CONCATENATE(AR27,"-",AS27))</f>
        <v>;H</v>
      </c>
      <c r="AS29" s="105"/>
      <c r="AT29" s="104" t="str" cm="1">
        <f t="array" ref="AT29">_xlfn.IFS(AND(AT27="00",AT28="00"),";H",AND(AT27&lt;&gt;"00",AT28&lt;&gt;"00"),CONCATENATE(AT27,"-",AU28,"(",AU27,"-",AT28,")"),AND(AT27="00",AT28&lt;&gt;"00"),CONCATENATE(AT28,"-",AU28),AND(AT27&lt;&gt;"00",AT28="00"),CONCATENATE(AT27,"-",AU27))</f>
        <v>;H</v>
      </c>
      <c r="AU29" s="105"/>
      <c r="AV29" s="104" t="str" cm="1">
        <f t="array" ref="AV29">_xlfn.IFS(AND(AV27="00",AV28="00"),";H",AND(AV27&lt;&gt;"00",AV28&lt;&gt;"00"),CONCATENATE(AV27,"-",AW28,"(",AW27,"-",AV28,")"),AND(AV27="00",AV28&lt;&gt;"00"),CONCATENATE(AV28,"-",AW28),AND(AV27&lt;&gt;"00",AV28="00"),CONCATENATE(AV27,"-",AW27))</f>
        <v>;H</v>
      </c>
      <c r="AW29" s="105"/>
      <c r="AX29" s="104" t="str" cm="1">
        <f t="array" ref="AX29">_xlfn.IFS(AND(AX27="00",AX28="00"),";H",AND(AX27&lt;&gt;"00",AX28&lt;&gt;"00"),CONCATENATE(AX27,"-",AY28,"(",AY27,"-",AX28,")"),AND(AX27="00",AX28&lt;&gt;"00"),CONCATENATE(AX28,"-",AY28),AND(AX27&lt;&gt;"00",AX28="00"),CONCATENATE(AX27,"-",AY27))</f>
        <v>;H</v>
      </c>
      <c r="AY29" s="105"/>
      <c r="AZ29" s="104" t="str" cm="1">
        <f t="array" ref="AZ29">_xlfn.IFS(AND(AZ27="00",AZ28="00"),";H",AND(AZ27&lt;&gt;"00",AZ28&lt;&gt;"00"),CONCATENATE(AZ27,"-",BA28,"(",BA27,"-",AZ28,")"),AND(AZ27="00",AZ28&lt;&gt;"00"),CONCATENATE(AZ28,"-",BA28),AND(AZ27&lt;&gt;"00",AZ28="00"),CONCATENATE(AZ27,"-",BA27))</f>
        <v>;H</v>
      </c>
      <c r="BA29" s="105"/>
      <c r="BB29" s="104" t="str" cm="1">
        <f t="array" ref="BB29">_xlfn.IFS(AND(BB27="00",BB28="00"),";H",AND(BB27&lt;&gt;"00",BB28&lt;&gt;"00"),CONCATENATE(BB27,"-",BC28,"(",BC27,"-",BB28,")"),AND(BB27="00",BB28&lt;&gt;"00"),CONCATENATE(BB28,"-",BC28),AND(BB27&lt;&gt;"00",BB28="00"),CONCATENATE(BB27,"-",BC27))</f>
        <v>;H</v>
      </c>
      <c r="BC29" s="105"/>
      <c r="BD29" s="104" t="str" cm="1">
        <f t="array" ref="BD29">_xlfn.IFS(AND(BD27="00",BD28="00"),";H",AND(BD27&lt;&gt;"00",BD28&lt;&gt;"00"),CONCATENATE(BD27,"-",BE28,"(",BE27,"-",BD28,")"),AND(BD27="00",BD28&lt;&gt;"00"),CONCATENATE(BD28,"-",BE28),AND(BD27&lt;&gt;"00",BD28="00"),CONCATENATE(BD27,"-",BE27))</f>
        <v>;H</v>
      </c>
      <c r="BE29" s="105"/>
      <c r="BF29" s="104" t="str" cm="1">
        <f t="array" ref="BF29">_xlfn.IFS(AND(BF27="00",BF28="00"),";H",AND(BF27&lt;&gt;"00",BF28&lt;&gt;"00"),CONCATENATE(BF27,"-",BG28,"(",BG27,"-",BF28,")"),AND(BF27="00",BF28&lt;&gt;"00"),CONCATENATE(BF28,"-",BG28),AND(BF27&lt;&gt;"00",BF28="00"),CONCATENATE(BF27,"-",BG27))</f>
        <v>;H</v>
      </c>
      <c r="BG29" s="105"/>
      <c r="BH29" s="104" t="str" cm="1">
        <f t="array" ref="BH29">_xlfn.IFS(AND(BH27="00",BH28="00"),";H",AND(BH27&lt;&gt;"00",BH28&lt;&gt;"00"),CONCATENATE(BH27,"-",BI28,"(",BI27,"-",BH28,")"),AND(BH27="00",BH28&lt;&gt;"00"),CONCATENATE(BH28,"-",BI28),AND(BH27&lt;&gt;"00",BH28="00"),CONCATENATE(BH27,"-",BI27))</f>
        <v>;H</v>
      </c>
      <c r="BI29" s="105"/>
      <c r="BJ29" s="104" t="str" cm="1">
        <f t="array" ref="BJ29">_xlfn.IFS(AND(BJ27="00",BJ28="00"),";H",AND(BJ27&lt;&gt;"00",BJ28&lt;&gt;"00"),CONCATENATE(BJ27,"-",BK28,"(",BK27,"-",BJ28,")"),AND(BJ27="00",BJ28&lt;&gt;"00"),CONCATENATE(BJ28,"-",BK28),AND(BJ27&lt;&gt;"00",BJ28="00"),CONCATENATE(BJ27,"-",BK27))</f>
        <v>;H</v>
      </c>
      <c r="BK29" s="105"/>
      <c r="BL29" s="104" t="str" cm="1">
        <f t="array" ref="BL29">_xlfn.IFS(AND(BL27="00",BL28="00"),";H",AND(BL27&lt;&gt;"00",BL28&lt;&gt;"00"),CONCATENATE(BL27,"-",BM28,"(",BM27,"-",BL28,")"),AND(BL27="00",BL28&lt;&gt;"00"),CONCATENATE(BL28,"-",BM28),AND(BL27&lt;&gt;"00",BL28="00"),CONCATENATE(BL27,"-",BM27))</f>
        <v>;H</v>
      </c>
      <c r="BM29" s="105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ht="15" thickBot="1">
      <c r="A30" s="83"/>
      <c r="B30" s="145">
        <f>整月外場班表!B30</f>
        <v>0</v>
      </c>
      <c r="C30" s="93"/>
      <c r="D30" s="23" t="str">
        <f>IF(MOD(整月外場班表!D30,1)=0,CONCATENATE(整月外場班表!D30,"00"),CONCATENATE(INT(整月外場班表!D30),"30"))</f>
        <v>00</v>
      </c>
      <c r="E30" s="24" t="str">
        <f>IF(MOD(整月外場班表!E30,1)=0,CONCATENATE(整月外場班表!E30,"00"),CONCATENATE(INT(整月外場班表!E30),"30"))</f>
        <v>00</v>
      </c>
      <c r="F30" s="23" t="str">
        <f>IF(MOD(整月外場班表!F30,1)=0,CONCATENATE(整月外場班表!F30,"00"),CONCATENATE(INT(整月外場班表!F30),"30"))</f>
        <v>00</v>
      </c>
      <c r="G30" s="24" t="str">
        <f>IF(MOD(整月外場班表!G30,1)=0,CONCATENATE(整月外場班表!G30,"00"),CONCATENATE(INT(整月外場班表!G30),"30"))</f>
        <v>00</v>
      </c>
      <c r="H30" s="23" t="str">
        <f>IF(MOD(整月外場班表!H30,1)=0,CONCATENATE(整月外場班表!H30,"00"),CONCATENATE(INT(整月外場班表!H30),"30"))</f>
        <v>00</v>
      </c>
      <c r="I30" s="24" t="str">
        <f>IF(MOD(整月外場班表!I30,1)=0,CONCATENATE(整月外場班表!I30,"00"),CONCATENATE(INT(整月外場班表!I30),"30"))</f>
        <v>00</v>
      </c>
      <c r="J30" s="23" t="str">
        <f>IF(MOD(整月外場班表!J30,1)=0,CONCATENATE(整月外場班表!J30,"00"),CONCATENATE(INT(整月外場班表!J30),"30"))</f>
        <v>00</v>
      </c>
      <c r="K30" s="24" t="str">
        <f>IF(MOD(整月外場班表!K30,1)=0,CONCATENATE(整月外場班表!K30,"00"),CONCATENATE(INT(整月外場班表!K30),"30"))</f>
        <v>00</v>
      </c>
      <c r="L30" s="23" t="str">
        <f>IF(MOD(整月外場班表!L30,1)=0,CONCATENATE(整月外場班表!L30,"00"),CONCATENATE(INT(整月外場班表!L30),"30"))</f>
        <v>00</v>
      </c>
      <c r="M30" s="24" t="str">
        <f>IF(MOD(整月外場班表!M30,1)=0,CONCATENATE(整月外場班表!M30,"00"),CONCATENATE(INT(整月外場班表!M30),"30"))</f>
        <v>00</v>
      </c>
      <c r="N30" s="23" t="str">
        <f>IF(MOD(整月外場班表!N30,1)=0,CONCATENATE(整月外場班表!N30,"00"),CONCATENATE(INT(整月外場班表!N30),"30"))</f>
        <v>00</v>
      </c>
      <c r="O30" s="24" t="str">
        <f>IF(MOD(整月外場班表!O30,1)=0,CONCATENATE(整月外場班表!O30,"00"),CONCATENATE(INT(整月外場班表!O30),"30"))</f>
        <v>00</v>
      </c>
      <c r="P30" s="23" t="str">
        <f>IF(MOD(整月外場班表!P30,1)=0,CONCATENATE(整月外場班表!P30,"00"),CONCATENATE(INT(整月外場班表!P30),"30"))</f>
        <v>00</v>
      </c>
      <c r="Q30" s="24" t="str">
        <f>IF(MOD(整月外場班表!Q30,1)=0,CONCATENATE(整月外場班表!Q30,"00"),CONCATENATE(INT(整月外場班表!Q30),"30"))</f>
        <v>00</v>
      </c>
      <c r="R30" s="23" t="str">
        <f>IF(MOD(整月外場班表!R30,1)=0,CONCATENATE(整月外場班表!R30,"00"),CONCATENATE(INT(整月外場班表!R30),"30"))</f>
        <v>00</v>
      </c>
      <c r="S30" s="24" t="str">
        <f>IF(MOD(整月外場班表!S30,1)=0,CONCATENATE(整月外場班表!S30,"00"),CONCATENATE(INT(整月外場班表!S30),"30"))</f>
        <v>00</v>
      </c>
      <c r="T30" s="23" t="str">
        <f>IF(MOD(整月外場班表!T30,1)=0,CONCATENATE(整月外場班表!T30,"00"),CONCATENATE(INT(整月外場班表!T30),"30"))</f>
        <v>00</v>
      </c>
      <c r="U30" s="24" t="str">
        <f>IF(MOD(整月外場班表!U30,1)=0,CONCATENATE(整月外場班表!U30,"00"),CONCATENATE(INT(整月外場班表!U30),"30"))</f>
        <v>00</v>
      </c>
      <c r="V30" s="23" t="str">
        <f>IF(MOD(整月外場班表!V30,1)=0,CONCATENATE(整月外場班表!V30,"00"),CONCATENATE(INT(整月外場班表!V30),"30"))</f>
        <v>00</v>
      </c>
      <c r="W30" s="24" t="str">
        <f>IF(MOD(整月外場班表!W30,1)=0,CONCATENATE(整月外場班表!W30,"00"),CONCATENATE(INT(整月外場班表!W30),"30"))</f>
        <v>00</v>
      </c>
      <c r="X30" s="23" t="str">
        <f>IF(MOD(整月外場班表!X30,1)=0,CONCATENATE(整月外場班表!X30,"00"),CONCATENATE(INT(整月外場班表!X30),"30"))</f>
        <v>00</v>
      </c>
      <c r="Y30" s="24" t="str">
        <f>IF(MOD(整月外場班表!Y30,1)=0,CONCATENATE(整月外場班表!Y30,"00"),CONCATENATE(INT(整月外場班表!Y30),"30"))</f>
        <v>00</v>
      </c>
      <c r="Z30" s="23" t="str">
        <f>IF(MOD(整月外場班表!Z30,1)=0,CONCATENATE(整月外場班表!Z30,"00"),CONCATENATE(INT(整月外場班表!Z30),"30"))</f>
        <v>00</v>
      </c>
      <c r="AA30" s="24" t="str">
        <f>IF(MOD(整月外場班表!AA30,1)=0,CONCATENATE(整月外場班表!AA30,"00"),CONCATENATE(INT(整月外場班表!AA30),"30"))</f>
        <v>00</v>
      </c>
      <c r="AB30" s="23" t="str">
        <f>IF(MOD(整月外場班表!AB30,1)=0,CONCATENATE(整月外場班表!AB30,"00"),CONCATENATE(INT(整月外場班表!AB30),"30"))</f>
        <v>00</v>
      </c>
      <c r="AC30" s="24" t="str">
        <f>IF(MOD(整月外場班表!AC30,1)=0,CONCATENATE(整月外場班表!AC30,"00"),CONCATENATE(INT(整月外場班表!AC30),"30"))</f>
        <v>00</v>
      </c>
      <c r="AD30" s="23" t="str">
        <f>IF(MOD(整月外場班表!AD30,1)=0,CONCATENATE(整月外場班表!AD30,"00"),CONCATENATE(INT(整月外場班表!AD30),"30"))</f>
        <v>00</v>
      </c>
      <c r="AE30" s="24" t="str">
        <f>IF(MOD(整月外場班表!AE30,1)=0,CONCATENATE(整月外場班表!AE30,"00"),CONCATENATE(INT(整月外場班表!AE30),"30"))</f>
        <v>00</v>
      </c>
      <c r="AF30" s="23" t="str">
        <f>IF(MOD(整月外場班表!AF30,1)=0,CONCATENATE(整月外場班表!AF30,"00"),CONCATENATE(INT(整月外場班表!AF30),"30"))</f>
        <v>00</v>
      </c>
      <c r="AG30" s="24" t="str">
        <f>IF(MOD(整月外場班表!AG30,1)=0,CONCATENATE(整月外場班表!AG30,"00"),CONCATENATE(INT(整月外場班表!AG30),"30"))</f>
        <v>00</v>
      </c>
      <c r="AH30" s="23" t="str">
        <f>IF(MOD(整月外場班表!AH30,1)=0,CONCATENATE(整月外場班表!AH30,"00"),CONCATENATE(INT(整月外場班表!AH30),"30"))</f>
        <v>00</v>
      </c>
      <c r="AI30" s="24" t="str">
        <f>IF(MOD(整月外場班表!AI30,1)=0,CONCATENATE(整月外場班表!AI30,"00"),CONCATENATE(INT(整月外場班表!AI30),"30"))</f>
        <v>00</v>
      </c>
      <c r="AJ30" s="23" t="str">
        <f>IF(MOD(整月外場班表!AJ30,1)=0,CONCATENATE(整月外場班表!AJ30,"00"),CONCATENATE(INT(整月外場班表!AJ30),"30"))</f>
        <v>00</v>
      </c>
      <c r="AK30" s="24" t="str">
        <f>IF(MOD(整月外場班表!AK30,1)=0,CONCATENATE(整月外場班表!AK30,"00"),CONCATENATE(INT(整月外場班表!AK30),"30"))</f>
        <v>00</v>
      </c>
      <c r="AL30" s="23" t="str">
        <f>IF(MOD(整月外場班表!AL30,1)=0,CONCATENATE(整月外場班表!AL30,"00"),CONCATENATE(INT(整月外場班表!AL30),"30"))</f>
        <v>00</v>
      </c>
      <c r="AM30" s="24" t="str">
        <f>IF(MOD(整月外場班表!AM30,1)=0,CONCATENATE(整月外場班表!AM30,"00"),CONCATENATE(INT(整月外場班表!AM30),"30"))</f>
        <v>00</v>
      </c>
      <c r="AN30" s="23" t="str">
        <f>IF(MOD(整月外場班表!AN30,1)=0,CONCATENATE(整月外場班表!AN30,"00"),CONCATENATE(INT(整月外場班表!AN30),"30"))</f>
        <v>00</v>
      </c>
      <c r="AO30" s="24" t="str">
        <f>IF(MOD(整月外場班表!AO30,1)=0,CONCATENATE(整月外場班表!AO30,"00"),CONCATENATE(INT(整月外場班表!AO30),"30"))</f>
        <v>00</v>
      </c>
      <c r="AP30" s="23" t="str">
        <f>IF(MOD(整月外場班表!AP30,1)=0,CONCATENATE(整月外場班表!AP30,"00"),CONCATENATE(INT(整月外場班表!AP30),"30"))</f>
        <v>00</v>
      </c>
      <c r="AQ30" s="24" t="str">
        <f>IF(MOD(整月外場班表!AQ30,1)=0,CONCATENATE(整月外場班表!AQ30,"00"),CONCATENATE(INT(整月外場班表!AQ30),"30"))</f>
        <v>00</v>
      </c>
      <c r="AR30" s="23" t="str">
        <f>IF(MOD(整月外場班表!AR30,1)=0,CONCATENATE(整月外場班表!AR30,"00"),CONCATENATE(INT(整月外場班表!AR30),"30"))</f>
        <v>00</v>
      </c>
      <c r="AS30" s="24" t="str">
        <f>IF(MOD(整月外場班表!AS30,1)=0,CONCATENATE(整月外場班表!AS30,"00"),CONCATENATE(INT(整月外場班表!AS30),"30"))</f>
        <v>00</v>
      </c>
      <c r="AT30" s="23" t="str">
        <f>IF(MOD(整月外場班表!AT30,1)=0,CONCATENATE(整月外場班表!AT30,"00"),CONCATENATE(INT(整月外場班表!AT30),"30"))</f>
        <v>00</v>
      </c>
      <c r="AU30" s="24" t="str">
        <f>IF(MOD(整月外場班表!AU30,1)=0,CONCATENATE(整月外場班表!AU30,"00"),CONCATENATE(INT(整月外場班表!AU30),"30"))</f>
        <v>00</v>
      </c>
      <c r="AV30" s="23" t="str">
        <f>IF(MOD(整月外場班表!AV30,1)=0,CONCATENATE(整月外場班表!AV30,"00"),CONCATENATE(INT(整月外場班表!AV30),"30"))</f>
        <v>00</v>
      </c>
      <c r="AW30" s="24" t="str">
        <f>IF(MOD(整月外場班表!AW30,1)=0,CONCATENATE(整月外場班表!AW30,"00"),CONCATENATE(INT(整月外場班表!AW30),"30"))</f>
        <v>00</v>
      </c>
      <c r="AX30" s="23" t="str">
        <f>IF(MOD(整月外場班表!AX30,1)=0,CONCATENATE(整月外場班表!AX30,"00"),CONCATENATE(INT(整月外場班表!AX30),"30"))</f>
        <v>00</v>
      </c>
      <c r="AY30" s="24" t="str">
        <f>IF(MOD(整月外場班表!AY30,1)=0,CONCATENATE(整月外場班表!AY30,"00"),CONCATENATE(INT(整月外場班表!AY30),"30"))</f>
        <v>00</v>
      </c>
      <c r="AZ30" s="23" t="str">
        <f>IF(MOD(整月外場班表!AZ30,1)=0,CONCATENATE(整月外場班表!AZ30,"00"),CONCATENATE(INT(整月外場班表!AZ30),"30"))</f>
        <v>00</v>
      </c>
      <c r="BA30" s="24" t="str">
        <f>IF(MOD(整月外場班表!BA30,1)=0,CONCATENATE(整月外場班表!BA30,"00"),CONCATENATE(INT(整月外場班表!BA30),"30"))</f>
        <v>00</v>
      </c>
      <c r="BB30" s="23" t="str">
        <f>IF(MOD(整月外場班表!BB30,1)=0,CONCATENATE(整月外場班表!BB30,"00"),CONCATENATE(INT(整月外場班表!BB30),"30"))</f>
        <v>00</v>
      </c>
      <c r="BC30" s="24" t="str">
        <f>IF(MOD(整月外場班表!BC30,1)=0,CONCATENATE(整月外場班表!BC30,"00"),CONCATENATE(INT(整月外場班表!BC30),"30"))</f>
        <v>00</v>
      </c>
      <c r="BD30" s="23" t="str">
        <f>IF(MOD(整月外場班表!BD30,1)=0,CONCATENATE(整月外場班表!BD30,"00"),CONCATENATE(INT(整月外場班表!BD30),"30"))</f>
        <v>00</v>
      </c>
      <c r="BE30" s="24" t="str">
        <f>IF(MOD(整月外場班表!BE30,1)=0,CONCATENATE(整月外場班表!BE30,"00"),CONCATENATE(INT(整月外場班表!BE30),"30"))</f>
        <v>00</v>
      </c>
      <c r="BF30" s="23" t="str">
        <f>IF(MOD(整月外場班表!BF30,1)=0,CONCATENATE(整月外場班表!BF30,"00"),CONCATENATE(INT(整月外場班表!BF30),"30"))</f>
        <v>00</v>
      </c>
      <c r="BG30" s="24" t="str">
        <f>IF(MOD(整月外場班表!BG30,1)=0,CONCATENATE(整月外場班表!BG30,"00"),CONCATENATE(INT(整月外場班表!BG30),"30"))</f>
        <v>00</v>
      </c>
      <c r="BH30" s="23" t="str">
        <f>IF(MOD(整月外場班表!BH30,1)=0,CONCATENATE(整月外場班表!BH30,"00"),CONCATENATE(INT(整月外場班表!BH30),"30"))</f>
        <v>00</v>
      </c>
      <c r="BI30" s="24" t="str">
        <f>IF(MOD(整月外場班表!BI30,1)=0,CONCATENATE(整月外場班表!BI30,"00"),CONCATENATE(INT(整月外場班表!BI30),"30"))</f>
        <v>00</v>
      </c>
      <c r="BJ30" s="23" t="str">
        <f>IF(MOD(整月外場班表!BJ30,1)=0,CONCATENATE(整月外場班表!BJ30,"00"),CONCATENATE(INT(整月外場班表!BJ30),"30"))</f>
        <v>00</v>
      </c>
      <c r="BK30" s="24" t="str">
        <f>IF(MOD(整月外場班表!BK30,1)=0,CONCATENATE(整月外場班表!BK30,"00"),CONCATENATE(INT(整月外場班表!BK30),"30"))</f>
        <v>00</v>
      </c>
      <c r="BL30" s="23" t="str">
        <f>IF(MOD(整月外場班表!BL30,1)=0,CONCATENATE(整月外場班表!BL30,"00"),CONCATENATE(INT(整月外場班表!BL30),"30"))</f>
        <v>00</v>
      </c>
      <c r="BM30" s="24" t="str">
        <f>IF(MOD(整月外場班表!BM30,1)=0,CONCATENATE(整月外場班表!BM30,"00"),CONCATENATE(INT(整月外場班表!BM30),"30"))</f>
        <v>00</v>
      </c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ht="15" thickBot="1">
      <c r="A31" s="84"/>
      <c r="B31" s="86"/>
      <c r="C31" s="94"/>
      <c r="D31" s="25" t="str">
        <f>IF(MOD(整月外場班表!D31,1)=0,CONCATENATE(整月外場班表!D31,"00"),CONCATENATE(INT(整月外場班表!D31),"30"))</f>
        <v>00</v>
      </c>
      <c r="E31" s="26" t="str">
        <f>IF(MOD(整月外場班表!E31,1)=0,CONCATENATE(整月外場班表!E31,"00"),CONCATENATE(INT(整月外場班表!E31),"30"))</f>
        <v>00</v>
      </c>
      <c r="F31" s="25" t="str">
        <f>IF(MOD(整月外場班表!F31,1)=0,CONCATENATE(整月外場班表!F31,"00"),CONCATENATE(INT(整月外場班表!F31),"30"))</f>
        <v>00</v>
      </c>
      <c r="G31" s="26" t="str">
        <f>IF(MOD(整月外場班表!G31,1)=0,CONCATENATE(整月外場班表!G31,"00"),CONCATENATE(INT(整月外場班表!G31),"30"))</f>
        <v>00</v>
      </c>
      <c r="H31" s="25" t="str">
        <f>IF(MOD(整月外場班表!H31,1)=0,CONCATENATE(整月外場班表!H31,"00"),CONCATENATE(INT(整月外場班表!H31),"30"))</f>
        <v>00</v>
      </c>
      <c r="I31" s="26" t="str">
        <f>IF(MOD(整月外場班表!I31,1)=0,CONCATENATE(整月外場班表!I31,"00"),CONCATENATE(INT(整月外場班表!I31),"30"))</f>
        <v>00</v>
      </c>
      <c r="J31" s="25" t="str">
        <f>IF(MOD(整月外場班表!J31,1)=0,CONCATENATE(整月外場班表!J31,"00"),CONCATENATE(INT(整月外場班表!J31),"30"))</f>
        <v>00</v>
      </c>
      <c r="K31" s="26" t="str">
        <f>IF(MOD(整月外場班表!K31,1)=0,CONCATENATE(整月外場班表!K31,"00"),CONCATENATE(INT(整月外場班表!K31),"30"))</f>
        <v>00</v>
      </c>
      <c r="L31" s="25" t="str">
        <f>IF(MOD(整月外場班表!L31,1)=0,CONCATENATE(整月外場班表!L31,"00"),CONCATENATE(INT(整月外場班表!L31),"30"))</f>
        <v>00</v>
      </c>
      <c r="M31" s="26" t="str">
        <f>IF(MOD(整月外場班表!M31,1)=0,CONCATENATE(整月外場班表!M31,"00"),CONCATENATE(INT(整月外場班表!M31),"30"))</f>
        <v>00</v>
      </c>
      <c r="N31" s="25" t="str">
        <f>IF(MOD(整月外場班表!N31,1)=0,CONCATENATE(整月外場班表!N31,"00"),CONCATENATE(INT(整月外場班表!N31),"30"))</f>
        <v>00</v>
      </c>
      <c r="O31" s="26" t="str">
        <f>IF(MOD(整月外場班表!O31,1)=0,CONCATENATE(整月外場班表!O31,"00"),CONCATENATE(INT(整月外場班表!O31),"30"))</f>
        <v>00</v>
      </c>
      <c r="P31" s="25" t="str">
        <f>IF(MOD(整月外場班表!P31,1)=0,CONCATENATE(整月外場班表!P31,"00"),CONCATENATE(INT(整月外場班表!P31),"30"))</f>
        <v>00</v>
      </c>
      <c r="Q31" s="26" t="str">
        <f>IF(MOD(整月外場班表!Q31,1)=0,CONCATENATE(整月外場班表!Q31,"00"),CONCATENATE(INT(整月外場班表!Q31),"30"))</f>
        <v>00</v>
      </c>
      <c r="R31" s="25" t="str">
        <f>IF(MOD(整月外場班表!R31,1)=0,CONCATENATE(整月外場班表!R31,"00"),CONCATENATE(INT(整月外場班表!R31),"30"))</f>
        <v>00</v>
      </c>
      <c r="S31" s="26" t="str">
        <f>IF(MOD(整月外場班表!S31,1)=0,CONCATENATE(整月外場班表!S31,"00"),CONCATENATE(INT(整月外場班表!S31),"30"))</f>
        <v>00</v>
      </c>
      <c r="T31" s="25" t="str">
        <f>IF(MOD(整月外場班表!T31,1)=0,CONCATENATE(整月外場班表!T31,"00"),CONCATENATE(INT(整月外場班表!T31),"30"))</f>
        <v>00</v>
      </c>
      <c r="U31" s="26" t="str">
        <f>IF(MOD(整月外場班表!U31,1)=0,CONCATENATE(整月外場班表!U31,"00"),CONCATENATE(INT(整月外場班表!U31),"30"))</f>
        <v>00</v>
      </c>
      <c r="V31" s="25" t="str">
        <f>IF(MOD(整月外場班表!V31,1)=0,CONCATENATE(整月外場班表!V31,"00"),CONCATENATE(INT(整月外場班表!V31),"30"))</f>
        <v>00</v>
      </c>
      <c r="W31" s="26" t="str">
        <f>IF(MOD(整月外場班表!W31,1)=0,CONCATENATE(整月外場班表!W31,"00"),CONCATENATE(INT(整月外場班表!W31),"30"))</f>
        <v>00</v>
      </c>
      <c r="X31" s="25" t="str">
        <f>IF(MOD(整月外場班表!X31,1)=0,CONCATENATE(整月外場班表!X31,"00"),CONCATENATE(INT(整月外場班表!X31),"30"))</f>
        <v>00</v>
      </c>
      <c r="Y31" s="26" t="str">
        <f>IF(MOD(整月外場班表!Y31,1)=0,CONCATENATE(整月外場班表!Y31,"00"),CONCATENATE(INT(整月外場班表!Y31),"30"))</f>
        <v>00</v>
      </c>
      <c r="Z31" s="25" t="str">
        <f>IF(MOD(整月外場班表!Z31,1)=0,CONCATENATE(整月外場班表!Z31,"00"),CONCATENATE(INT(整月外場班表!Z31),"30"))</f>
        <v>00</v>
      </c>
      <c r="AA31" s="26" t="str">
        <f>IF(MOD(整月外場班表!AA31,1)=0,CONCATENATE(整月外場班表!AA31,"00"),CONCATENATE(INT(整月外場班表!AA31),"30"))</f>
        <v>00</v>
      </c>
      <c r="AB31" s="25" t="str">
        <f>IF(MOD(整月外場班表!AB31,1)=0,CONCATENATE(整月外場班表!AB31,"00"),CONCATENATE(INT(整月外場班表!AB31),"30"))</f>
        <v>00</v>
      </c>
      <c r="AC31" s="26" t="str">
        <f>IF(MOD(整月外場班表!AC31,1)=0,CONCATENATE(整月外場班表!AC31,"00"),CONCATENATE(INT(整月外場班表!AC31),"30"))</f>
        <v>00</v>
      </c>
      <c r="AD31" s="25" t="str">
        <f>IF(MOD(整月外場班表!AD31,1)=0,CONCATENATE(整月外場班表!AD31,"00"),CONCATENATE(INT(整月外場班表!AD31),"30"))</f>
        <v>00</v>
      </c>
      <c r="AE31" s="26" t="str">
        <f>IF(MOD(整月外場班表!AE31,1)=0,CONCATENATE(整月外場班表!AE31,"00"),CONCATENATE(INT(整月外場班表!AE31),"30"))</f>
        <v>00</v>
      </c>
      <c r="AF31" s="25" t="str">
        <f>IF(MOD(整月外場班表!AF31,1)=0,CONCATENATE(整月外場班表!AF31,"00"),CONCATENATE(INT(整月外場班表!AF31),"30"))</f>
        <v>00</v>
      </c>
      <c r="AG31" s="26" t="str">
        <f>IF(MOD(整月外場班表!AG31,1)=0,CONCATENATE(整月外場班表!AG31,"00"),CONCATENATE(INT(整月外場班表!AG31),"30"))</f>
        <v>00</v>
      </c>
      <c r="AH31" s="25" t="str">
        <f>IF(MOD(整月外場班表!AH31,1)=0,CONCATENATE(整月外場班表!AH31,"00"),CONCATENATE(INT(整月外場班表!AH31),"30"))</f>
        <v>00</v>
      </c>
      <c r="AI31" s="26" t="str">
        <f>IF(MOD(整月外場班表!AI31,1)=0,CONCATENATE(整月外場班表!AI31,"00"),CONCATENATE(INT(整月外場班表!AI31),"30"))</f>
        <v>00</v>
      </c>
      <c r="AJ31" s="25" t="str">
        <f>IF(MOD(整月外場班表!AJ31,1)=0,CONCATENATE(整月外場班表!AJ31,"00"),CONCATENATE(INT(整月外場班表!AJ31),"30"))</f>
        <v>00</v>
      </c>
      <c r="AK31" s="26" t="str">
        <f>IF(MOD(整月外場班表!AK31,1)=0,CONCATENATE(整月外場班表!AK31,"00"),CONCATENATE(INT(整月外場班表!AK31),"30"))</f>
        <v>00</v>
      </c>
      <c r="AL31" s="25" t="str">
        <f>IF(MOD(整月外場班表!AL31,1)=0,CONCATENATE(整月外場班表!AL31,"00"),CONCATENATE(INT(整月外場班表!AL31),"30"))</f>
        <v>00</v>
      </c>
      <c r="AM31" s="26" t="str">
        <f>IF(MOD(整月外場班表!AM31,1)=0,CONCATENATE(整月外場班表!AM31,"00"),CONCATENATE(INT(整月外場班表!AM31),"30"))</f>
        <v>00</v>
      </c>
      <c r="AN31" s="25" t="str">
        <f>IF(MOD(整月外場班表!AN31,1)=0,CONCATENATE(整月外場班表!AN31,"00"),CONCATENATE(INT(整月外場班表!AN31),"30"))</f>
        <v>00</v>
      </c>
      <c r="AO31" s="26" t="str">
        <f>IF(MOD(整月外場班表!AO31,1)=0,CONCATENATE(整月外場班表!AO31,"00"),CONCATENATE(INT(整月外場班表!AO31),"30"))</f>
        <v>00</v>
      </c>
      <c r="AP31" s="25" t="str">
        <f>IF(MOD(整月外場班表!AP31,1)=0,CONCATENATE(整月外場班表!AP31,"00"),CONCATENATE(INT(整月外場班表!AP31),"30"))</f>
        <v>00</v>
      </c>
      <c r="AQ31" s="26" t="str">
        <f>IF(MOD(整月外場班表!AQ31,1)=0,CONCATENATE(整月外場班表!AQ31,"00"),CONCATENATE(INT(整月外場班表!AQ31),"30"))</f>
        <v>00</v>
      </c>
      <c r="AR31" s="25" t="str">
        <f>IF(MOD(整月外場班表!AR31,1)=0,CONCATENATE(整月外場班表!AR31,"00"),CONCATENATE(INT(整月外場班表!AR31),"30"))</f>
        <v>00</v>
      </c>
      <c r="AS31" s="26" t="str">
        <f>IF(MOD(整月外場班表!AS31,1)=0,CONCATENATE(整月外場班表!AS31,"00"),CONCATENATE(INT(整月外場班表!AS31),"30"))</f>
        <v>00</v>
      </c>
      <c r="AT31" s="25" t="str">
        <f>IF(MOD(整月外場班表!AT31,1)=0,CONCATENATE(整月外場班表!AT31,"00"),CONCATENATE(INT(整月外場班表!AT31),"30"))</f>
        <v>00</v>
      </c>
      <c r="AU31" s="26" t="str">
        <f>IF(MOD(整月外場班表!AU31,1)=0,CONCATENATE(整月外場班表!AU31,"00"),CONCATENATE(INT(整月外場班表!AU31),"30"))</f>
        <v>00</v>
      </c>
      <c r="AV31" s="25" t="str">
        <f>IF(MOD(整月外場班表!AV31,1)=0,CONCATENATE(整月外場班表!AV31,"00"),CONCATENATE(INT(整月外場班表!AV31),"30"))</f>
        <v>00</v>
      </c>
      <c r="AW31" s="26" t="str">
        <f>IF(MOD(整月外場班表!AW31,1)=0,CONCATENATE(整月外場班表!AW31,"00"),CONCATENATE(INT(整月外場班表!AW31),"30"))</f>
        <v>00</v>
      </c>
      <c r="AX31" s="25" t="str">
        <f>IF(MOD(整月外場班表!AX31,1)=0,CONCATENATE(整月外場班表!AX31,"00"),CONCATENATE(INT(整月外場班表!AX31),"30"))</f>
        <v>00</v>
      </c>
      <c r="AY31" s="26" t="str">
        <f>IF(MOD(整月外場班表!AY31,1)=0,CONCATENATE(整月外場班表!AY31,"00"),CONCATENATE(INT(整月外場班表!AY31),"30"))</f>
        <v>00</v>
      </c>
      <c r="AZ31" s="25" t="str">
        <f>IF(MOD(整月外場班表!AZ31,1)=0,CONCATENATE(整月外場班表!AZ31,"00"),CONCATENATE(INT(整月外場班表!AZ31),"30"))</f>
        <v>00</v>
      </c>
      <c r="BA31" s="26" t="str">
        <f>IF(MOD(整月外場班表!BA31,1)=0,CONCATENATE(整月外場班表!BA31,"00"),CONCATENATE(INT(整月外場班表!BA31),"30"))</f>
        <v>00</v>
      </c>
      <c r="BB31" s="25" t="str">
        <f>IF(MOD(整月外場班表!BB31,1)=0,CONCATENATE(整月外場班表!BB31,"00"),CONCATENATE(INT(整月外場班表!BB31),"30"))</f>
        <v>00</v>
      </c>
      <c r="BC31" s="26" t="str">
        <f>IF(MOD(整月外場班表!BC31,1)=0,CONCATENATE(整月外場班表!BC31,"00"),CONCATENATE(INT(整月外場班表!BC31),"30"))</f>
        <v>00</v>
      </c>
      <c r="BD31" s="25" t="str">
        <f>IF(MOD(整月外場班表!BD31,1)=0,CONCATENATE(整月外場班表!BD31,"00"),CONCATENATE(INT(整月外場班表!BD31),"30"))</f>
        <v>00</v>
      </c>
      <c r="BE31" s="26" t="str">
        <f>IF(MOD(整月外場班表!BE31,1)=0,CONCATENATE(整月外場班表!BE31,"00"),CONCATENATE(INT(整月外場班表!BE31),"30"))</f>
        <v>00</v>
      </c>
      <c r="BF31" s="25" t="str">
        <f>IF(MOD(整月外場班表!BF31,1)=0,CONCATENATE(整月外場班表!BF31,"00"),CONCATENATE(INT(整月外場班表!BF31),"30"))</f>
        <v>00</v>
      </c>
      <c r="BG31" s="26" t="str">
        <f>IF(MOD(整月外場班表!BG31,1)=0,CONCATENATE(整月外場班表!BG31,"00"),CONCATENATE(INT(整月外場班表!BG31),"30"))</f>
        <v>00</v>
      </c>
      <c r="BH31" s="25" t="str">
        <f>IF(MOD(整月外場班表!BH31,1)=0,CONCATENATE(整月外場班表!BH31,"00"),CONCATENATE(INT(整月外場班表!BH31),"30"))</f>
        <v>00</v>
      </c>
      <c r="BI31" s="26" t="str">
        <f>IF(MOD(整月外場班表!BI31,1)=0,CONCATENATE(整月外場班表!BI31,"00"),CONCATENATE(INT(整月外場班表!BI31),"30"))</f>
        <v>00</v>
      </c>
      <c r="BJ31" s="25" t="str">
        <f>IF(MOD(整月外場班表!BJ31,1)=0,CONCATENATE(整月外場班表!BJ31,"00"),CONCATENATE(INT(整月外場班表!BJ31),"30"))</f>
        <v>00</v>
      </c>
      <c r="BK31" s="26" t="str">
        <f>IF(MOD(整月外場班表!BK31,1)=0,CONCATENATE(整月外場班表!BK31,"00"),CONCATENATE(INT(整月外場班表!BK31),"30"))</f>
        <v>00</v>
      </c>
      <c r="BL31" s="25" t="str">
        <f>IF(MOD(整月外場班表!BL31,1)=0,CONCATENATE(整月外場班表!BL31,"00"),CONCATENATE(INT(整月外場班表!BL31),"30"))</f>
        <v>00</v>
      </c>
      <c r="BM31" s="26" t="str">
        <f>IF(MOD(整月外場班表!BM31,1)=0,CONCATENATE(整月外場班表!BM31,"00"),CONCATENATE(INT(整月外場班表!BM31),"30"))</f>
        <v>00</v>
      </c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ht="40" customHeight="1" thickBot="1">
      <c r="A32" s="47"/>
      <c r="B32" s="84"/>
      <c r="C32" s="95"/>
      <c r="D32" s="104" t="str" cm="1">
        <f t="array" ref="D32">_xlfn.IFS(AND(D30="00",D31="00"),";H",AND(D30&lt;&gt;"00",D31&lt;&gt;"00"),CONCATENATE(D30,"-",E31,"(",E30,"-",D31,")"),AND(D30="00",D31&lt;&gt;"00"),CONCATENATE(D31,"-",E31),AND(D30&lt;&gt;"00",D31="00"),CONCATENATE(D30,"-",E30))</f>
        <v>;H</v>
      </c>
      <c r="E32" s="105"/>
      <c r="F32" s="104" t="str" cm="1">
        <f t="array" ref="F32">_xlfn.IFS(AND(F30="00",F31="00"),";H",AND(F30&lt;&gt;"00",F31&lt;&gt;"00"),CONCATENATE(F30,"-",G31,"(",G30,"-",F31,")"),AND(F30="00",F31&lt;&gt;"00"),CONCATENATE(F31,"-",G31),AND(F30&lt;&gt;"00",F31="00"),CONCATENATE(F30,"-",G30))</f>
        <v>;H</v>
      </c>
      <c r="G32" s="105"/>
      <c r="H32" s="104" t="str" cm="1">
        <f t="array" ref="H32">_xlfn.IFS(AND(H30="00",H31="00"),";H",AND(H30&lt;&gt;"00",H31&lt;&gt;"00"),CONCATENATE(H30,"-",I31,"(",I30,"-",H31,")"),AND(H30="00",H31&lt;&gt;"00"),CONCATENATE(H31,"-",I31),AND(H30&lt;&gt;"00",H31="00"),CONCATENATE(H30,"-",I30))</f>
        <v>;H</v>
      </c>
      <c r="I32" s="105"/>
      <c r="J32" s="104" t="str" cm="1">
        <f t="array" ref="J32">_xlfn.IFS(AND(J30="00",J31="00"),";H",AND(J30&lt;&gt;"00",J31&lt;&gt;"00"),CONCATENATE(J30,"-",K31,"(",K30,"-",J31,")"),AND(J30="00",J31&lt;&gt;"00"),CONCATENATE(J31,"-",K31),AND(J30&lt;&gt;"00",J31="00"),CONCATENATE(J30,"-",K30))</f>
        <v>;H</v>
      </c>
      <c r="K32" s="105"/>
      <c r="L32" s="104" t="str" cm="1">
        <f t="array" ref="L32">_xlfn.IFS(AND(L30="00",L31="00"),";H",AND(L30&lt;&gt;"00",L31&lt;&gt;"00"),CONCATENATE(L30,"-",M31,"(",M30,"-",L31,")"),AND(L30="00",L31&lt;&gt;"00"),CONCATENATE(L31,"-",M31),AND(L30&lt;&gt;"00",L31="00"),CONCATENATE(L30,"-",M30))</f>
        <v>;H</v>
      </c>
      <c r="M32" s="105"/>
      <c r="N32" s="104" t="str" cm="1">
        <f t="array" ref="N32">_xlfn.IFS(AND(N30="00",N31="00"),";H",AND(N30&lt;&gt;"00",N31&lt;&gt;"00"),CONCATENATE(N30,"-",O31,"(",O30,"-",N31,")"),AND(N30="00",N31&lt;&gt;"00"),CONCATENATE(N31,"-",O31),AND(N30&lt;&gt;"00",N31="00"),CONCATENATE(N30,"-",O30))</f>
        <v>;H</v>
      </c>
      <c r="O32" s="105"/>
      <c r="P32" s="104" t="str" cm="1">
        <f t="array" ref="P32">_xlfn.IFS(AND(P30="00",P31="00"),";H",AND(P30&lt;&gt;"00",P31&lt;&gt;"00"),CONCATENATE(P30,"-",Q31,"(",Q30,"-",P31,")"),AND(P30="00",P31&lt;&gt;"00"),CONCATENATE(P31,"-",Q31),AND(P30&lt;&gt;"00",P31="00"),CONCATENATE(P30,"-",Q30))</f>
        <v>;H</v>
      </c>
      <c r="Q32" s="105"/>
      <c r="R32" s="104" t="str" cm="1">
        <f t="array" ref="R32">_xlfn.IFS(AND(R30="00",R31="00"),";H",AND(R30&lt;&gt;"00",R31&lt;&gt;"00"),CONCATENATE(R30,"-",S31,"(",S30,"-",R31,")"),AND(R30="00",R31&lt;&gt;"00"),CONCATENATE(R31,"-",S31),AND(R30&lt;&gt;"00",R31="00"),CONCATENATE(R30,"-",S30))</f>
        <v>;H</v>
      </c>
      <c r="S32" s="105"/>
      <c r="T32" s="104" t="str" cm="1">
        <f t="array" ref="T32">_xlfn.IFS(AND(T30="00",T31="00"),";H",AND(T30&lt;&gt;"00",T31&lt;&gt;"00"),CONCATENATE(T30,"-",U31,"(",U30,"-",T31,")"),AND(T30="00",T31&lt;&gt;"00"),CONCATENATE(T31,"-",U31),AND(T30&lt;&gt;"00",T31="00"),CONCATENATE(T30,"-",U30))</f>
        <v>;H</v>
      </c>
      <c r="U32" s="105"/>
      <c r="V32" s="104" t="str" cm="1">
        <f t="array" ref="V32">_xlfn.IFS(AND(V30="00",V31="00"),";H",AND(V30&lt;&gt;"00",V31&lt;&gt;"00"),CONCATENATE(V30,"-",W31,"(",W30,"-",V31,")"),AND(V30="00",V31&lt;&gt;"00"),CONCATENATE(V31,"-",W31),AND(V30&lt;&gt;"00",V31="00"),CONCATENATE(V30,"-",W30))</f>
        <v>;H</v>
      </c>
      <c r="W32" s="105"/>
      <c r="X32" s="104" t="str" cm="1">
        <f t="array" ref="X32">_xlfn.IFS(AND(X30="00",X31="00"),";H",AND(X30&lt;&gt;"00",X31&lt;&gt;"00"),CONCATENATE(X30,"-",Y31,"(",Y30,"-",X31,")"),AND(X30="00",X31&lt;&gt;"00"),CONCATENATE(X31,"-",Y31),AND(X30&lt;&gt;"00",X31="00"),CONCATENATE(X30,"-",Y30))</f>
        <v>;H</v>
      </c>
      <c r="Y32" s="105"/>
      <c r="Z32" s="104" t="str" cm="1">
        <f t="array" ref="Z32">_xlfn.IFS(AND(Z30="00",Z31="00"),";H",AND(Z30&lt;&gt;"00",Z31&lt;&gt;"00"),CONCATENATE(Z30,"-",AA31,"(",AA30,"-",Z31,")"),AND(Z30="00",Z31&lt;&gt;"00"),CONCATENATE(Z31,"-",AA31),AND(Z30&lt;&gt;"00",Z31="00"),CONCATENATE(Z30,"-",AA30))</f>
        <v>;H</v>
      </c>
      <c r="AA32" s="105"/>
      <c r="AB32" s="104" t="str" cm="1">
        <f t="array" ref="AB32">_xlfn.IFS(AND(AB30="00",AB31="00"),";H",AND(AB30&lt;&gt;"00",AB31&lt;&gt;"00"),CONCATENATE(AB30,"-",AC31,"(",AC30,"-",AB31,")"),AND(AB30="00",AB31&lt;&gt;"00"),CONCATENATE(AB31,"-",AC31),AND(AB30&lt;&gt;"00",AB31="00"),CONCATENATE(AB30,"-",AC30))</f>
        <v>;H</v>
      </c>
      <c r="AC32" s="105"/>
      <c r="AD32" s="104" t="str" cm="1">
        <f t="array" ref="AD32">_xlfn.IFS(AND(AD30="00",AD31="00"),";H",AND(AD30&lt;&gt;"00",AD31&lt;&gt;"00"),CONCATENATE(AD30,"-",AE31,"(",AE30,"-",AD31,")"),AND(AD30="00",AD31&lt;&gt;"00"),CONCATENATE(AD31,"-",AE31),AND(AD30&lt;&gt;"00",AD31="00"),CONCATENATE(AD30,"-",AE30))</f>
        <v>;H</v>
      </c>
      <c r="AE32" s="105"/>
      <c r="AF32" s="104" t="str" cm="1">
        <f t="array" ref="AF32">_xlfn.IFS(AND(AF30="00",AF31="00"),";H",AND(AF30&lt;&gt;"00",AF31&lt;&gt;"00"),CONCATENATE(AF30,"-",AG31,"(",AG30,"-",AF31,")"),AND(AF30="00",AF31&lt;&gt;"00"),CONCATENATE(AF31,"-",AG31),AND(AF30&lt;&gt;"00",AF31="00"),CONCATENATE(AF30,"-",AG30))</f>
        <v>;H</v>
      </c>
      <c r="AG32" s="105"/>
      <c r="AH32" s="104" t="str" cm="1">
        <f t="array" ref="AH32">_xlfn.IFS(AND(AH30="00",AH31="00"),";H",AND(AH30&lt;&gt;"00",AH31&lt;&gt;"00"),CONCATENATE(AH30,"-",AI31,"(",AI30,"-",AH31,")"),AND(AH30="00",AH31&lt;&gt;"00"),CONCATENATE(AH31,"-",AI31),AND(AH30&lt;&gt;"00",AH31="00"),CONCATENATE(AH30,"-",AI30))</f>
        <v>;H</v>
      </c>
      <c r="AI32" s="105"/>
      <c r="AJ32" s="104" t="str" cm="1">
        <f t="array" ref="AJ32">_xlfn.IFS(AND(AJ30="00",AJ31="00"),";H",AND(AJ30&lt;&gt;"00",AJ31&lt;&gt;"00"),CONCATENATE(AJ30,"-",AK31,"(",AK30,"-",AJ31,")"),AND(AJ30="00",AJ31&lt;&gt;"00"),CONCATENATE(AJ31,"-",AK31),AND(AJ30&lt;&gt;"00",AJ31="00"),CONCATENATE(AJ30,"-",AK30))</f>
        <v>;H</v>
      </c>
      <c r="AK32" s="105"/>
      <c r="AL32" s="104" t="str" cm="1">
        <f t="array" ref="AL32">_xlfn.IFS(AND(AL30="00",AL31="00"),";H",AND(AL30&lt;&gt;"00",AL31&lt;&gt;"00"),CONCATENATE(AL30,"-",AM31,"(",AM30,"-",AL31,")"),AND(AL30="00",AL31&lt;&gt;"00"),CONCATENATE(AL31,"-",AM31),AND(AL30&lt;&gt;"00",AL31="00"),CONCATENATE(AL30,"-",AM30))</f>
        <v>;H</v>
      </c>
      <c r="AM32" s="105"/>
      <c r="AN32" s="104" t="str" cm="1">
        <f t="array" ref="AN32">_xlfn.IFS(AND(AN30="00",AN31="00"),";H",AND(AN30&lt;&gt;"00",AN31&lt;&gt;"00"),CONCATENATE(AN30,"-",AO31,"(",AO30,"-",AN31,")"),AND(AN30="00",AN31&lt;&gt;"00"),CONCATENATE(AN31,"-",AO31),AND(AN30&lt;&gt;"00",AN31="00"),CONCATENATE(AN30,"-",AO30))</f>
        <v>;H</v>
      </c>
      <c r="AO32" s="105"/>
      <c r="AP32" s="104" t="str" cm="1">
        <f t="array" ref="AP32">_xlfn.IFS(AND(AP30="00",AP31="00"),";H",AND(AP30&lt;&gt;"00",AP31&lt;&gt;"00"),CONCATENATE(AP30,"-",AQ31,"(",AQ30,"-",AP31,")"),AND(AP30="00",AP31&lt;&gt;"00"),CONCATENATE(AP31,"-",AQ31),AND(AP30&lt;&gt;"00",AP31="00"),CONCATENATE(AP30,"-",AQ30))</f>
        <v>;H</v>
      </c>
      <c r="AQ32" s="105"/>
      <c r="AR32" s="104" t="str" cm="1">
        <f t="array" ref="AR32">_xlfn.IFS(AND(AR30="00",AR31="00"),";H",AND(AR30&lt;&gt;"00",AR31&lt;&gt;"00"),CONCATENATE(AR30,"-",AS31,"(",AS30,"-",AR31,")"),AND(AR30="00",AR31&lt;&gt;"00"),CONCATENATE(AR31,"-",AS31),AND(AR30&lt;&gt;"00",AR31="00"),CONCATENATE(AR30,"-",AS30))</f>
        <v>;H</v>
      </c>
      <c r="AS32" s="105"/>
      <c r="AT32" s="104" t="str" cm="1">
        <f t="array" ref="AT32">_xlfn.IFS(AND(AT30="00",AT31="00"),";H",AND(AT30&lt;&gt;"00",AT31&lt;&gt;"00"),CONCATENATE(AT30,"-",AU31,"(",AU30,"-",AT31,")"),AND(AT30="00",AT31&lt;&gt;"00"),CONCATENATE(AT31,"-",AU31),AND(AT30&lt;&gt;"00",AT31="00"),CONCATENATE(AT30,"-",AU30))</f>
        <v>;H</v>
      </c>
      <c r="AU32" s="105"/>
      <c r="AV32" s="104" t="str" cm="1">
        <f t="array" ref="AV32">_xlfn.IFS(AND(AV30="00",AV31="00"),";H",AND(AV30&lt;&gt;"00",AV31&lt;&gt;"00"),CONCATENATE(AV30,"-",AW31,"(",AW30,"-",AV31,")"),AND(AV30="00",AV31&lt;&gt;"00"),CONCATENATE(AV31,"-",AW31),AND(AV30&lt;&gt;"00",AV31="00"),CONCATENATE(AV30,"-",AW30))</f>
        <v>;H</v>
      </c>
      <c r="AW32" s="105"/>
      <c r="AX32" s="104" t="str" cm="1">
        <f t="array" ref="AX32">_xlfn.IFS(AND(AX30="00",AX31="00"),";H",AND(AX30&lt;&gt;"00",AX31&lt;&gt;"00"),CONCATENATE(AX30,"-",AY31,"(",AY30,"-",AX31,")"),AND(AX30="00",AX31&lt;&gt;"00"),CONCATENATE(AX31,"-",AY31),AND(AX30&lt;&gt;"00",AX31="00"),CONCATENATE(AX30,"-",AY30))</f>
        <v>;H</v>
      </c>
      <c r="AY32" s="105"/>
      <c r="AZ32" s="104" t="str" cm="1">
        <f t="array" ref="AZ32">_xlfn.IFS(AND(AZ30="00",AZ31="00"),";H",AND(AZ30&lt;&gt;"00",AZ31&lt;&gt;"00"),CONCATENATE(AZ30,"-",BA31,"(",BA30,"-",AZ31,")"),AND(AZ30="00",AZ31&lt;&gt;"00"),CONCATENATE(AZ31,"-",BA31),AND(AZ30&lt;&gt;"00",AZ31="00"),CONCATENATE(AZ30,"-",BA30))</f>
        <v>;H</v>
      </c>
      <c r="BA32" s="105"/>
      <c r="BB32" s="104" t="str" cm="1">
        <f t="array" ref="BB32">_xlfn.IFS(AND(BB30="00",BB31="00"),";H",AND(BB30&lt;&gt;"00",BB31&lt;&gt;"00"),CONCATENATE(BB30,"-",BC31,"(",BC30,"-",BB31,")"),AND(BB30="00",BB31&lt;&gt;"00"),CONCATENATE(BB31,"-",BC31),AND(BB30&lt;&gt;"00",BB31="00"),CONCATENATE(BB30,"-",BC30))</f>
        <v>;H</v>
      </c>
      <c r="BC32" s="105"/>
      <c r="BD32" s="104" t="str" cm="1">
        <f t="array" ref="BD32">_xlfn.IFS(AND(BD30="00",BD31="00"),";H",AND(BD30&lt;&gt;"00",BD31&lt;&gt;"00"),CONCATENATE(BD30,"-",BE31,"(",BE30,"-",BD31,")"),AND(BD30="00",BD31&lt;&gt;"00"),CONCATENATE(BD31,"-",BE31),AND(BD30&lt;&gt;"00",BD31="00"),CONCATENATE(BD30,"-",BE30))</f>
        <v>;H</v>
      </c>
      <c r="BE32" s="105"/>
      <c r="BF32" s="104" t="str" cm="1">
        <f t="array" ref="BF32">_xlfn.IFS(AND(BF30="00",BF31="00"),";H",AND(BF30&lt;&gt;"00",BF31&lt;&gt;"00"),CONCATENATE(BF30,"-",BG31,"(",BG30,"-",BF31,")"),AND(BF30="00",BF31&lt;&gt;"00"),CONCATENATE(BF31,"-",BG31),AND(BF30&lt;&gt;"00",BF31="00"),CONCATENATE(BF30,"-",BG30))</f>
        <v>;H</v>
      </c>
      <c r="BG32" s="105"/>
      <c r="BH32" s="104" t="str" cm="1">
        <f t="array" ref="BH32">_xlfn.IFS(AND(BH30="00",BH31="00"),";H",AND(BH30&lt;&gt;"00",BH31&lt;&gt;"00"),CONCATENATE(BH30,"-",BI31,"(",BI30,"-",BH31,")"),AND(BH30="00",BH31&lt;&gt;"00"),CONCATENATE(BH31,"-",BI31),AND(BH30&lt;&gt;"00",BH31="00"),CONCATENATE(BH30,"-",BI30))</f>
        <v>;H</v>
      </c>
      <c r="BI32" s="105"/>
      <c r="BJ32" s="104" t="str" cm="1">
        <f t="array" ref="BJ32">_xlfn.IFS(AND(BJ30="00",BJ31="00"),";H",AND(BJ30&lt;&gt;"00",BJ31&lt;&gt;"00"),CONCATENATE(BJ30,"-",BK31,"(",BK30,"-",BJ31,")"),AND(BJ30="00",BJ31&lt;&gt;"00"),CONCATENATE(BJ31,"-",BK31),AND(BJ30&lt;&gt;"00",BJ31="00"),CONCATENATE(BJ30,"-",BK30))</f>
        <v>;H</v>
      </c>
      <c r="BK32" s="105"/>
      <c r="BL32" s="104" t="str" cm="1">
        <f t="array" ref="BL32">_xlfn.IFS(AND(BL30="00",BL31="00"),";H",AND(BL30&lt;&gt;"00",BL31&lt;&gt;"00"),CONCATENATE(BL30,"-",BM31,"(",BM30,"-",BL31,")"),AND(BL30="00",BL31&lt;&gt;"00"),CONCATENATE(BL31,"-",BM31),AND(BL30&lt;&gt;"00",BL31="00"),CONCATENATE(BL30,"-",BM30))</f>
        <v>;H</v>
      </c>
      <c r="BM32" s="105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81" ht="15" thickBot="1">
      <c r="A33" s="83"/>
      <c r="B33" s="145">
        <f>整月外場班表!B33</f>
        <v>0</v>
      </c>
      <c r="C33" s="93"/>
      <c r="D33" s="23" t="str">
        <f>IF(MOD(整月外場班表!D33,1)=0,CONCATENATE(整月外場班表!D33,"00"),CONCATENATE(INT(整月外場班表!D33),"30"))</f>
        <v>00</v>
      </c>
      <c r="E33" s="24" t="str">
        <f>IF(MOD(整月外場班表!E33,1)=0,CONCATENATE(整月外場班表!E33,"00"),CONCATENATE(INT(整月外場班表!E33),"30"))</f>
        <v>00</v>
      </c>
      <c r="F33" s="23" t="str">
        <f>IF(MOD(整月外場班表!F33,1)=0,CONCATENATE(整月外場班表!F33,"00"),CONCATENATE(INT(整月外場班表!F33),"30"))</f>
        <v>00</v>
      </c>
      <c r="G33" s="24" t="str">
        <f>IF(MOD(整月外場班表!G33,1)=0,CONCATENATE(整月外場班表!G33,"00"),CONCATENATE(INT(整月外場班表!G33),"30"))</f>
        <v>00</v>
      </c>
      <c r="H33" s="23" t="str">
        <f>IF(MOD(整月外場班表!H33,1)=0,CONCATENATE(整月外場班表!H33,"00"),CONCATENATE(INT(整月外場班表!H33),"30"))</f>
        <v>00</v>
      </c>
      <c r="I33" s="24" t="str">
        <f>IF(MOD(整月外場班表!I33,1)=0,CONCATENATE(整月外場班表!I33,"00"),CONCATENATE(INT(整月外場班表!I33),"30"))</f>
        <v>00</v>
      </c>
      <c r="J33" s="23" t="str">
        <f>IF(MOD(整月外場班表!J33,1)=0,CONCATENATE(整月外場班表!J33,"00"),CONCATENATE(INT(整月外場班表!J33),"30"))</f>
        <v>00</v>
      </c>
      <c r="K33" s="24" t="str">
        <f>IF(MOD(整月外場班表!K33,1)=0,CONCATENATE(整月外場班表!K33,"00"),CONCATENATE(INT(整月外場班表!K33),"30"))</f>
        <v>00</v>
      </c>
      <c r="L33" s="23" t="str">
        <f>IF(MOD(整月外場班表!L33,1)=0,CONCATENATE(整月外場班表!L33,"00"),CONCATENATE(INT(整月外場班表!L33),"30"))</f>
        <v>00</v>
      </c>
      <c r="M33" s="24" t="str">
        <f>IF(MOD(整月外場班表!M33,1)=0,CONCATENATE(整月外場班表!M33,"00"),CONCATENATE(INT(整月外場班表!M33),"30"))</f>
        <v>00</v>
      </c>
      <c r="N33" s="23" t="str">
        <f>IF(MOD(整月外場班表!N33,1)=0,CONCATENATE(整月外場班表!N33,"00"),CONCATENATE(INT(整月外場班表!N33),"30"))</f>
        <v>00</v>
      </c>
      <c r="O33" s="24" t="str">
        <f>IF(MOD(整月外場班表!O33,1)=0,CONCATENATE(整月外場班表!O33,"00"),CONCATENATE(INT(整月外場班表!O33),"30"))</f>
        <v>00</v>
      </c>
      <c r="P33" s="23" t="str">
        <f>IF(MOD(整月外場班表!P33,1)=0,CONCATENATE(整月外場班表!P33,"00"),CONCATENATE(INT(整月外場班表!P33),"30"))</f>
        <v>00</v>
      </c>
      <c r="Q33" s="24" t="str">
        <f>IF(MOD(整月外場班表!Q33,1)=0,CONCATENATE(整月外場班表!Q33,"00"),CONCATENATE(INT(整月外場班表!Q33),"30"))</f>
        <v>00</v>
      </c>
      <c r="R33" s="23" t="str">
        <f>IF(MOD(整月外場班表!R33,1)=0,CONCATENATE(整月外場班表!R33,"00"),CONCATENATE(INT(整月外場班表!R33),"30"))</f>
        <v>00</v>
      </c>
      <c r="S33" s="24" t="str">
        <f>IF(MOD(整月外場班表!S33,1)=0,CONCATENATE(整月外場班表!S33,"00"),CONCATENATE(INT(整月外場班表!S33),"30"))</f>
        <v>00</v>
      </c>
      <c r="T33" s="23" t="str">
        <f>IF(MOD(整月外場班表!T33,1)=0,CONCATENATE(整月外場班表!T33,"00"),CONCATENATE(INT(整月外場班表!T33),"30"))</f>
        <v>00</v>
      </c>
      <c r="U33" s="24" t="str">
        <f>IF(MOD(整月外場班表!U33,1)=0,CONCATENATE(整月外場班表!U33,"00"),CONCATENATE(INT(整月外場班表!U33),"30"))</f>
        <v>00</v>
      </c>
      <c r="V33" s="23" t="str">
        <f>IF(MOD(整月外場班表!V33,1)=0,CONCATENATE(整月外場班表!V33,"00"),CONCATENATE(INT(整月外場班表!V33),"30"))</f>
        <v>00</v>
      </c>
      <c r="W33" s="24" t="str">
        <f>IF(MOD(整月外場班表!W33,1)=0,CONCATENATE(整月外場班表!W33,"00"),CONCATENATE(INT(整月外場班表!W33),"30"))</f>
        <v>00</v>
      </c>
      <c r="X33" s="23" t="str">
        <f>IF(MOD(整月外場班表!X33,1)=0,CONCATENATE(整月外場班表!X33,"00"),CONCATENATE(INT(整月外場班表!X33),"30"))</f>
        <v>00</v>
      </c>
      <c r="Y33" s="24" t="str">
        <f>IF(MOD(整月外場班表!Y33,1)=0,CONCATENATE(整月外場班表!Y33,"00"),CONCATENATE(INT(整月外場班表!Y33),"30"))</f>
        <v>00</v>
      </c>
      <c r="Z33" s="23" t="str">
        <f>IF(MOD(整月外場班表!Z33,1)=0,CONCATENATE(整月外場班表!Z33,"00"),CONCATENATE(INT(整月外場班表!Z33),"30"))</f>
        <v>00</v>
      </c>
      <c r="AA33" s="24" t="str">
        <f>IF(MOD(整月外場班表!AA33,1)=0,CONCATENATE(整月外場班表!AA33,"00"),CONCATENATE(INT(整月外場班表!AA33),"30"))</f>
        <v>00</v>
      </c>
      <c r="AB33" s="23" t="str">
        <f>IF(MOD(整月外場班表!AB33,1)=0,CONCATENATE(整月外場班表!AB33,"00"),CONCATENATE(INT(整月外場班表!AB33),"30"))</f>
        <v>00</v>
      </c>
      <c r="AC33" s="24" t="str">
        <f>IF(MOD(整月外場班表!AC33,1)=0,CONCATENATE(整月外場班表!AC33,"00"),CONCATENATE(INT(整月外場班表!AC33),"30"))</f>
        <v>00</v>
      </c>
      <c r="AD33" s="23" t="str">
        <f>IF(MOD(整月外場班表!AD33,1)=0,CONCATENATE(整月外場班表!AD33,"00"),CONCATENATE(INT(整月外場班表!AD33),"30"))</f>
        <v>00</v>
      </c>
      <c r="AE33" s="24" t="str">
        <f>IF(MOD(整月外場班表!AE33,1)=0,CONCATENATE(整月外場班表!AE33,"00"),CONCATENATE(INT(整月外場班表!AE33),"30"))</f>
        <v>00</v>
      </c>
      <c r="AF33" s="23" t="str">
        <f>IF(MOD(整月外場班表!AF33,1)=0,CONCATENATE(整月外場班表!AF33,"00"),CONCATENATE(INT(整月外場班表!AF33),"30"))</f>
        <v>00</v>
      </c>
      <c r="AG33" s="24" t="str">
        <f>IF(MOD(整月外場班表!AG33,1)=0,CONCATENATE(整月外場班表!AG33,"00"),CONCATENATE(INT(整月外場班表!AG33),"30"))</f>
        <v>00</v>
      </c>
      <c r="AH33" s="23" t="str">
        <f>IF(MOD(整月外場班表!AH33,1)=0,CONCATENATE(整月外場班表!AH33,"00"),CONCATENATE(INT(整月外場班表!AH33),"30"))</f>
        <v>00</v>
      </c>
      <c r="AI33" s="24" t="str">
        <f>IF(MOD(整月外場班表!AI33,1)=0,CONCATENATE(整月外場班表!AI33,"00"),CONCATENATE(INT(整月外場班表!AI33),"30"))</f>
        <v>00</v>
      </c>
      <c r="AJ33" s="23" t="str">
        <f>IF(MOD(整月外場班表!AJ33,1)=0,CONCATENATE(整月外場班表!AJ33,"00"),CONCATENATE(INT(整月外場班表!AJ33),"30"))</f>
        <v>00</v>
      </c>
      <c r="AK33" s="24" t="str">
        <f>IF(MOD(整月外場班表!AK33,1)=0,CONCATENATE(整月外場班表!AK33,"00"),CONCATENATE(INT(整月外場班表!AK33),"30"))</f>
        <v>00</v>
      </c>
      <c r="AL33" s="23" t="str">
        <f>IF(MOD(整月外場班表!AL33,1)=0,CONCATENATE(整月外場班表!AL33,"00"),CONCATENATE(INT(整月外場班表!AL33),"30"))</f>
        <v>00</v>
      </c>
      <c r="AM33" s="24" t="str">
        <f>IF(MOD(整月外場班表!AM33,1)=0,CONCATENATE(整月外場班表!AM33,"00"),CONCATENATE(INT(整月外場班表!AM33),"30"))</f>
        <v>00</v>
      </c>
      <c r="AN33" s="23" t="str">
        <f>IF(MOD(整月外場班表!AN33,1)=0,CONCATENATE(整月外場班表!AN33,"00"),CONCATENATE(INT(整月外場班表!AN33),"30"))</f>
        <v>00</v>
      </c>
      <c r="AO33" s="24" t="str">
        <f>IF(MOD(整月外場班表!AO33,1)=0,CONCATENATE(整月外場班表!AO33,"00"),CONCATENATE(INT(整月外場班表!AO33),"30"))</f>
        <v>00</v>
      </c>
      <c r="AP33" s="23" t="str">
        <f>IF(MOD(整月外場班表!AP33,1)=0,CONCATENATE(整月外場班表!AP33,"00"),CONCATENATE(INT(整月外場班表!AP33),"30"))</f>
        <v>00</v>
      </c>
      <c r="AQ33" s="24" t="str">
        <f>IF(MOD(整月外場班表!AQ33,1)=0,CONCATENATE(整月外場班表!AQ33,"00"),CONCATENATE(INT(整月外場班表!AQ33),"30"))</f>
        <v>00</v>
      </c>
      <c r="AR33" s="23" t="str">
        <f>IF(MOD(整月外場班表!AR33,1)=0,CONCATENATE(整月外場班表!AR33,"00"),CONCATENATE(INT(整月外場班表!AR33),"30"))</f>
        <v>00</v>
      </c>
      <c r="AS33" s="24" t="str">
        <f>IF(MOD(整月外場班表!AS33,1)=0,CONCATENATE(整月外場班表!AS33,"00"),CONCATENATE(INT(整月外場班表!AS33),"30"))</f>
        <v>00</v>
      </c>
      <c r="AT33" s="23" t="str">
        <f>IF(MOD(整月外場班表!AT33,1)=0,CONCATENATE(整月外場班表!AT33,"00"),CONCATENATE(INT(整月外場班表!AT33),"30"))</f>
        <v>00</v>
      </c>
      <c r="AU33" s="24" t="str">
        <f>IF(MOD(整月外場班表!AU33,1)=0,CONCATENATE(整月外場班表!AU33,"00"),CONCATENATE(INT(整月外場班表!AU33),"30"))</f>
        <v>00</v>
      </c>
      <c r="AV33" s="23" t="str">
        <f>IF(MOD(整月外場班表!AV33,1)=0,CONCATENATE(整月外場班表!AV33,"00"),CONCATENATE(INT(整月外場班表!AV33),"30"))</f>
        <v>00</v>
      </c>
      <c r="AW33" s="24" t="str">
        <f>IF(MOD(整月外場班表!AW33,1)=0,CONCATENATE(整月外場班表!AW33,"00"),CONCATENATE(INT(整月外場班表!AW33),"30"))</f>
        <v>00</v>
      </c>
      <c r="AX33" s="23" t="str">
        <f>IF(MOD(整月外場班表!AX33,1)=0,CONCATENATE(整月外場班表!AX33,"00"),CONCATENATE(INT(整月外場班表!AX33),"30"))</f>
        <v>00</v>
      </c>
      <c r="AY33" s="24" t="str">
        <f>IF(MOD(整月外場班表!AY33,1)=0,CONCATENATE(整月外場班表!AY33,"00"),CONCATENATE(INT(整月外場班表!AY33),"30"))</f>
        <v>00</v>
      </c>
      <c r="AZ33" s="23" t="str">
        <f>IF(MOD(整月外場班表!AZ33,1)=0,CONCATENATE(整月外場班表!AZ33,"00"),CONCATENATE(INT(整月外場班表!AZ33),"30"))</f>
        <v>00</v>
      </c>
      <c r="BA33" s="24" t="str">
        <f>IF(MOD(整月外場班表!BA33,1)=0,CONCATENATE(整月外場班表!BA33,"00"),CONCATENATE(INT(整月外場班表!BA33),"30"))</f>
        <v>00</v>
      </c>
      <c r="BB33" s="23" t="str">
        <f>IF(MOD(整月外場班表!BB33,1)=0,CONCATENATE(整月外場班表!BB33,"00"),CONCATENATE(INT(整月外場班表!BB33),"30"))</f>
        <v>00</v>
      </c>
      <c r="BC33" s="24" t="str">
        <f>IF(MOD(整月外場班表!BC33,1)=0,CONCATENATE(整月外場班表!BC33,"00"),CONCATENATE(INT(整月外場班表!BC33),"30"))</f>
        <v>00</v>
      </c>
      <c r="BD33" s="23" t="str">
        <f>IF(MOD(整月外場班表!BD33,1)=0,CONCATENATE(整月外場班表!BD33,"00"),CONCATENATE(INT(整月外場班表!BD33),"30"))</f>
        <v>00</v>
      </c>
      <c r="BE33" s="24" t="str">
        <f>IF(MOD(整月外場班表!BE33,1)=0,CONCATENATE(整月外場班表!BE33,"00"),CONCATENATE(INT(整月外場班表!BE33),"30"))</f>
        <v>00</v>
      </c>
      <c r="BF33" s="23" t="str">
        <f>IF(MOD(整月外場班表!BF33,1)=0,CONCATENATE(整月外場班表!BF33,"00"),CONCATENATE(INT(整月外場班表!BF33),"30"))</f>
        <v>00</v>
      </c>
      <c r="BG33" s="24" t="str">
        <f>IF(MOD(整月外場班表!BG33,1)=0,CONCATENATE(整月外場班表!BG33,"00"),CONCATENATE(INT(整月外場班表!BG33),"30"))</f>
        <v>00</v>
      </c>
      <c r="BH33" s="23" t="str">
        <f>IF(MOD(整月外場班表!BH33,1)=0,CONCATENATE(整月外場班表!BH33,"00"),CONCATENATE(INT(整月外場班表!BH33),"30"))</f>
        <v>00</v>
      </c>
      <c r="BI33" s="24" t="str">
        <f>IF(MOD(整月外場班表!BI33,1)=0,CONCATENATE(整月外場班表!BI33,"00"),CONCATENATE(INT(整月外場班表!BI33),"30"))</f>
        <v>00</v>
      </c>
      <c r="BJ33" s="23" t="str">
        <f>IF(MOD(整月外場班表!BJ33,1)=0,CONCATENATE(整月外場班表!BJ33,"00"),CONCATENATE(INT(整月外場班表!BJ33),"30"))</f>
        <v>00</v>
      </c>
      <c r="BK33" s="24" t="str">
        <f>IF(MOD(整月外場班表!BK33,1)=0,CONCATENATE(整月外場班表!BK33,"00"),CONCATENATE(INT(整月外場班表!BK33),"30"))</f>
        <v>00</v>
      </c>
      <c r="BL33" s="23" t="str">
        <f>IF(MOD(整月外場班表!BL33,1)=0,CONCATENATE(整月外場班表!BL33,"00"),CONCATENATE(INT(整月外場班表!BL33),"30"))</f>
        <v>00</v>
      </c>
      <c r="BM33" s="24" t="str">
        <f>IF(MOD(整月外場班表!BM33,1)=0,CONCATENATE(整月外場班表!BM33,"00"),CONCATENATE(INT(整月外場班表!BM33),"30"))</f>
        <v>00</v>
      </c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81" ht="15" thickBot="1">
      <c r="A34" s="84"/>
      <c r="B34" s="86"/>
      <c r="C34" s="94"/>
      <c r="D34" s="25" t="str">
        <f>IF(MOD(整月外場班表!D34,1)=0,CONCATENATE(整月外場班表!D34,"00"),CONCATENATE(INT(整月外場班表!D34),"30"))</f>
        <v>00</v>
      </c>
      <c r="E34" s="26" t="str">
        <f>IF(MOD(整月外場班表!E34,1)=0,CONCATENATE(整月外場班表!E34,"00"),CONCATENATE(INT(整月外場班表!E34),"30"))</f>
        <v>00</v>
      </c>
      <c r="F34" s="25" t="str">
        <f>IF(MOD(整月外場班表!F34,1)=0,CONCATENATE(整月外場班表!F34,"00"),CONCATENATE(INT(整月外場班表!F34),"30"))</f>
        <v>00</v>
      </c>
      <c r="G34" s="26" t="str">
        <f>IF(MOD(整月外場班表!G34,1)=0,CONCATENATE(整月外場班表!G34,"00"),CONCATENATE(INT(整月外場班表!G34),"30"))</f>
        <v>00</v>
      </c>
      <c r="H34" s="25" t="str">
        <f>IF(MOD(整月外場班表!H34,1)=0,CONCATENATE(整月外場班表!H34,"00"),CONCATENATE(INT(整月外場班表!H34),"30"))</f>
        <v>00</v>
      </c>
      <c r="I34" s="26" t="str">
        <f>IF(MOD(整月外場班表!I34,1)=0,CONCATENATE(整月外場班表!I34,"00"),CONCATENATE(INT(整月外場班表!I34),"30"))</f>
        <v>00</v>
      </c>
      <c r="J34" s="25" t="str">
        <f>IF(MOD(整月外場班表!J34,1)=0,CONCATENATE(整月外場班表!J34,"00"),CONCATENATE(INT(整月外場班表!J34),"30"))</f>
        <v>00</v>
      </c>
      <c r="K34" s="26" t="str">
        <f>IF(MOD(整月外場班表!K34,1)=0,CONCATENATE(整月外場班表!K34,"00"),CONCATENATE(INT(整月外場班表!K34),"30"))</f>
        <v>00</v>
      </c>
      <c r="L34" s="25" t="str">
        <f>IF(MOD(整月外場班表!L34,1)=0,CONCATENATE(整月外場班表!L34,"00"),CONCATENATE(INT(整月外場班表!L34),"30"))</f>
        <v>00</v>
      </c>
      <c r="M34" s="26" t="str">
        <f>IF(MOD(整月外場班表!M34,1)=0,CONCATENATE(整月外場班表!M34,"00"),CONCATENATE(INT(整月外場班表!M34),"30"))</f>
        <v>00</v>
      </c>
      <c r="N34" s="25" t="str">
        <f>IF(MOD(整月外場班表!N34,1)=0,CONCATENATE(整月外場班表!N34,"00"),CONCATENATE(INT(整月外場班表!N34),"30"))</f>
        <v>00</v>
      </c>
      <c r="O34" s="26" t="str">
        <f>IF(MOD(整月外場班表!O34,1)=0,CONCATENATE(整月外場班表!O34,"00"),CONCATENATE(INT(整月外場班表!O34),"30"))</f>
        <v>00</v>
      </c>
      <c r="P34" s="25" t="str">
        <f>IF(MOD(整月外場班表!P34,1)=0,CONCATENATE(整月外場班表!P34,"00"),CONCATENATE(INT(整月外場班表!P34),"30"))</f>
        <v>00</v>
      </c>
      <c r="Q34" s="26" t="str">
        <f>IF(MOD(整月外場班表!Q34,1)=0,CONCATENATE(整月外場班表!Q34,"00"),CONCATENATE(INT(整月外場班表!Q34),"30"))</f>
        <v>00</v>
      </c>
      <c r="R34" s="25" t="str">
        <f>IF(MOD(整月外場班表!R34,1)=0,CONCATENATE(整月外場班表!R34,"00"),CONCATENATE(INT(整月外場班表!R34),"30"))</f>
        <v>00</v>
      </c>
      <c r="S34" s="26" t="str">
        <f>IF(MOD(整月外場班表!S34,1)=0,CONCATENATE(整月外場班表!S34,"00"),CONCATENATE(INT(整月外場班表!S34),"30"))</f>
        <v>00</v>
      </c>
      <c r="T34" s="25" t="str">
        <f>IF(MOD(整月外場班表!T34,1)=0,CONCATENATE(整月外場班表!T34,"00"),CONCATENATE(INT(整月外場班表!T34),"30"))</f>
        <v>00</v>
      </c>
      <c r="U34" s="26" t="str">
        <f>IF(MOD(整月外場班表!U34,1)=0,CONCATENATE(整月外場班表!U34,"00"),CONCATENATE(INT(整月外場班表!U34),"30"))</f>
        <v>00</v>
      </c>
      <c r="V34" s="25" t="str">
        <f>IF(MOD(整月外場班表!V34,1)=0,CONCATENATE(整月外場班表!V34,"00"),CONCATENATE(INT(整月外場班表!V34),"30"))</f>
        <v>00</v>
      </c>
      <c r="W34" s="26" t="str">
        <f>IF(MOD(整月外場班表!W34,1)=0,CONCATENATE(整月外場班表!W34,"00"),CONCATENATE(INT(整月外場班表!W34),"30"))</f>
        <v>00</v>
      </c>
      <c r="X34" s="25" t="str">
        <f>IF(MOD(整月外場班表!X34,1)=0,CONCATENATE(整月外場班表!X34,"00"),CONCATENATE(INT(整月外場班表!X34),"30"))</f>
        <v>00</v>
      </c>
      <c r="Y34" s="26" t="str">
        <f>IF(MOD(整月外場班表!Y34,1)=0,CONCATENATE(整月外場班表!Y34,"00"),CONCATENATE(INT(整月外場班表!Y34),"30"))</f>
        <v>00</v>
      </c>
      <c r="Z34" s="25" t="str">
        <f>IF(MOD(整月外場班表!Z34,1)=0,CONCATENATE(整月外場班表!Z34,"00"),CONCATENATE(INT(整月外場班表!Z34),"30"))</f>
        <v>00</v>
      </c>
      <c r="AA34" s="26" t="str">
        <f>IF(MOD(整月外場班表!AA34,1)=0,CONCATENATE(整月外場班表!AA34,"00"),CONCATENATE(INT(整月外場班表!AA34),"30"))</f>
        <v>00</v>
      </c>
      <c r="AB34" s="25" t="str">
        <f>IF(MOD(整月外場班表!AB34,1)=0,CONCATENATE(整月外場班表!AB34,"00"),CONCATENATE(INT(整月外場班表!AB34),"30"))</f>
        <v>00</v>
      </c>
      <c r="AC34" s="26" t="str">
        <f>IF(MOD(整月外場班表!AC34,1)=0,CONCATENATE(整月外場班表!AC34,"00"),CONCATENATE(INT(整月外場班表!AC34),"30"))</f>
        <v>00</v>
      </c>
      <c r="AD34" s="25" t="str">
        <f>IF(MOD(整月外場班表!AD34,1)=0,CONCATENATE(整月外場班表!AD34,"00"),CONCATENATE(INT(整月外場班表!AD34),"30"))</f>
        <v>00</v>
      </c>
      <c r="AE34" s="26" t="str">
        <f>IF(MOD(整月外場班表!AE34,1)=0,CONCATENATE(整月外場班表!AE34,"00"),CONCATENATE(INT(整月外場班表!AE34),"30"))</f>
        <v>00</v>
      </c>
      <c r="AF34" s="25" t="str">
        <f>IF(MOD(整月外場班表!AF34,1)=0,CONCATENATE(整月外場班表!AF34,"00"),CONCATENATE(INT(整月外場班表!AF34),"30"))</f>
        <v>00</v>
      </c>
      <c r="AG34" s="26" t="str">
        <f>IF(MOD(整月外場班表!AG34,1)=0,CONCATENATE(整月外場班表!AG34,"00"),CONCATENATE(INT(整月外場班表!AG34),"30"))</f>
        <v>00</v>
      </c>
      <c r="AH34" s="25" t="str">
        <f>IF(MOD(整月外場班表!AH34,1)=0,CONCATENATE(整月外場班表!AH34,"00"),CONCATENATE(INT(整月外場班表!AH34),"30"))</f>
        <v>00</v>
      </c>
      <c r="AI34" s="26" t="str">
        <f>IF(MOD(整月外場班表!AI34,1)=0,CONCATENATE(整月外場班表!AI34,"00"),CONCATENATE(INT(整月外場班表!AI34),"30"))</f>
        <v>00</v>
      </c>
      <c r="AJ34" s="25" t="str">
        <f>IF(MOD(整月外場班表!AJ34,1)=0,CONCATENATE(整月外場班表!AJ34,"00"),CONCATENATE(INT(整月外場班表!AJ34),"30"))</f>
        <v>00</v>
      </c>
      <c r="AK34" s="26" t="str">
        <f>IF(MOD(整月外場班表!AK34,1)=0,CONCATENATE(整月外場班表!AK34,"00"),CONCATENATE(INT(整月外場班表!AK34),"30"))</f>
        <v>00</v>
      </c>
      <c r="AL34" s="25" t="str">
        <f>IF(MOD(整月外場班表!AL34,1)=0,CONCATENATE(整月外場班表!AL34,"00"),CONCATENATE(INT(整月外場班表!AL34),"30"))</f>
        <v>00</v>
      </c>
      <c r="AM34" s="26" t="str">
        <f>IF(MOD(整月外場班表!AM34,1)=0,CONCATENATE(整月外場班表!AM34,"00"),CONCATENATE(INT(整月外場班表!AM34),"30"))</f>
        <v>00</v>
      </c>
      <c r="AN34" s="25" t="str">
        <f>IF(MOD(整月外場班表!AN34,1)=0,CONCATENATE(整月外場班表!AN34,"00"),CONCATENATE(INT(整月外場班表!AN34),"30"))</f>
        <v>00</v>
      </c>
      <c r="AO34" s="26" t="str">
        <f>IF(MOD(整月外場班表!AO34,1)=0,CONCATENATE(整月外場班表!AO34,"00"),CONCATENATE(INT(整月外場班表!AO34),"30"))</f>
        <v>00</v>
      </c>
      <c r="AP34" s="25" t="str">
        <f>IF(MOD(整月外場班表!AP34,1)=0,CONCATENATE(整月外場班表!AP34,"00"),CONCATENATE(INT(整月外場班表!AP34),"30"))</f>
        <v>00</v>
      </c>
      <c r="AQ34" s="26" t="str">
        <f>IF(MOD(整月外場班表!AQ34,1)=0,CONCATENATE(整月外場班表!AQ34,"00"),CONCATENATE(INT(整月外場班表!AQ34),"30"))</f>
        <v>00</v>
      </c>
      <c r="AR34" s="25" t="str">
        <f>IF(MOD(整月外場班表!AR34,1)=0,CONCATENATE(整月外場班表!AR34,"00"),CONCATENATE(INT(整月外場班表!AR34),"30"))</f>
        <v>00</v>
      </c>
      <c r="AS34" s="26" t="str">
        <f>IF(MOD(整月外場班表!AS34,1)=0,CONCATENATE(整月外場班表!AS34,"00"),CONCATENATE(INT(整月外場班表!AS34),"30"))</f>
        <v>00</v>
      </c>
      <c r="AT34" s="25" t="str">
        <f>IF(MOD(整月外場班表!AT34,1)=0,CONCATENATE(整月外場班表!AT34,"00"),CONCATENATE(INT(整月外場班表!AT34),"30"))</f>
        <v>00</v>
      </c>
      <c r="AU34" s="26" t="str">
        <f>IF(MOD(整月外場班表!AU34,1)=0,CONCATENATE(整月外場班表!AU34,"00"),CONCATENATE(INT(整月外場班表!AU34),"30"))</f>
        <v>00</v>
      </c>
      <c r="AV34" s="25" t="str">
        <f>IF(MOD(整月外場班表!AV34,1)=0,CONCATENATE(整月外場班表!AV34,"00"),CONCATENATE(INT(整月外場班表!AV34),"30"))</f>
        <v>00</v>
      </c>
      <c r="AW34" s="26" t="str">
        <f>IF(MOD(整月外場班表!AW34,1)=0,CONCATENATE(整月外場班表!AW34,"00"),CONCATENATE(INT(整月外場班表!AW34),"30"))</f>
        <v>00</v>
      </c>
      <c r="AX34" s="25" t="str">
        <f>IF(MOD(整月外場班表!AX34,1)=0,CONCATENATE(整月外場班表!AX34,"00"),CONCATENATE(INT(整月外場班表!AX34),"30"))</f>
        <v>00</v>
      </c>
      <c r="AY34" s="26" t="str">
        <f>IF(MOD(整月外場班表!AY34,1)=0,CONCATENATE(整月外場班表!AY34,"00"),CONCATENATE(INT(整月外場班表!AY34),"30"))</f>
        <v>00</v>
      </c>
      <c r="AZ34" s="25" t="str">
        <f>IF(MOD(整月外場班表!AZ34,1)=0,CONCATENATE(整月外場班表!AZ34,"00"),CONCATENATE(INT(整月外場班表!AZ34),"30"))</f>
        <v>00</v>
      </c>
      <c r="BA34" s="26" t="str">
        <f>IF(MOD(整月外場班表!BA34,1)=0,CONCATENATE(整月外場班表!BA34,"00"),CONCATENATE(INT(整月外場班表!BA34),"30"))</f>
        <v>00</v>
      </c>
      <c r="BB34" s="25" t="str">
        <f>IF(MOD(整月外場班表!BB34,1)=0,CONCATENATE(整月外場班表!BB34,"00"),CONCATENATE(INT(整月外場班表!BB34),"30"))</f>
        <v>00</v>
      </c>
      <c r="BC34" s="26" t="str">
        <f>IF(MOD(整月外場班表!BC34,1)=0,CONCATENATE(整月外場班表!BC34,"00"),CONCATENATE(INT(整月外場班表!BC34),"30"))</f>
        <v>00</v>
      </c>
      <c r="BD34" s="25" t="str">
        <f>IF(MOD(整月外場班表!BD34,1)=0,CONCATENATE(整月外場班表!BD34,"00"),CONCATENATE(INT(整月外場班表!BD34),"30"))</f>
        <v>00</v>
      </c>
      <c r="BE34" s="26" t="str">
        <f>IF(MOD(整月外場班表!BE34,1)=0,CONCATENATE(整月外場班表!BE34,"00"),CONCATENATE(INT(整月外場班表!BE34),"30"))</f>
        <v>00</v>
      </c>
      <c r="BF34" s="25" t="str">
        <f>IF(MOD(整月外場班表!BF34,1)=0,CONCATENATE(整月外場班表!BF34,"00"),CONCATENATE(INT(整月外場班表!BF34),"30"))</f>
        <v>00</v>
      </c>
      <c r="BG34" s="26" t="str">
        <f>IF(MOD(整月外場班表!BG34,1)=0,CONCATENATE(整月外場班表!BG34,"00"),CONCATENATE(INT(整月外場班表!BG34),"30"))</f>
        <v>00</v>
      </c>
      <c r="BH34" s="25" t="str">
        <f>IF(MOD(整月外場班表!BH34,1)=0,CONCATENATE(整月外場班表!BH34,"00"),CONCATENATE(INT(整月外場班表!BH34),"30"))</f>
        <v>00</v>
      </c>
      <c r="BI34" s="26" t="str">
        <f>IF(MOD(整月外場班表!BI34,1)=0,CONCATENATE(整月外場班表!BI34,"00"),CONCATENATE(INT(整月外場班表!BI34),"30"))</f>
        <v>00</v>
      </c>
      <c r="BJ34" s="25" t="str">
        <f>IF(MOD(整月外場班表!BJ34,1)=0,CONCATENATE(整月外場班表!BJ34,"00"),CONCATENATE(INT(整月外場班表!BJ34),"30"))</f>
        <v>00</v>
      </c>
      <c r="BK34" s="26" t="str">
        <f>IF(MOD(整月外場班表!BK34,1)=0,CONCATENATE(整月外場班表!BK34,"00"),CONCATENATE(INT(整月外場班表!BK34),"30"))</f>
        <v>00</v>
      </c>
      <c r="BL34" s="25" t="str">
        <f>IF(MOD(整月外場班表!BL34,1)=0,CONCATENATE(整月外場班表!BL34,"00"),CONCATENATE(INT(整月外場班表!BL34),"30"))</f>
        <v>00</v>
      </c>
      <c r="BM34" s="26" t="str">
        <f>IF(MOD(整月外場班表!BM34,1)=0,CONCATENATE(整月外場班表!BM34,"00"),CONCATENATE(INT(整月外場班表!BM34),"30"))</f>
        <v>00</v>
      </c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81" ht="40" customHeight="1" thickBot="1">
      <c r="A35" s="47"/>
      <c r="B35" s="84"/>
      <c r="C35" s="95"/>
      <c r="D35" s="104" t="str" cm="1">
        <f t="array" ref="D35">_xlfn.IFS(AND(D33="00",D34="00"),";H",AND(D33&lt;&gt;"00",D34&lt;&gt;"00"),CONCATENATE(D33,"-",E34,"(",E33,"-",D34,")"),AND(D33="00",D34&lt;&gt;"00"),CONCATENATE(D34,"-",E34),AND(D33&lt;&gt;"00",D34="00"),CONCATENATE(D33,"-",E33))</f>
        <v>;H</v>
      </c>
      <c r="E35" s="105"/>
      <c r="F35" s="104" t="str" cm="1">
        <f t="array" ref="F35">_xlfn.IFS(AND(F33="00",F34="00"),";H",AND(F33&lt;&gt;"00",F34&lt;&gt;"00"),CONCATENATE(F33,"-",G34,"(",G33,"-",F34,")"),AND(F33="00",F34&lt;&gt;"00"),CONCATENATE(F34,"-",G34),AND(F33&lt;&gt;"00",F34="00"),CONCATENATE(F33,"-",G33))</f>
        <v>;H</v>
      </c>
      <c r="G35" s="105"/>
      <c r="H35" s="104" t="str" cm="1">
        <f t="array" ref="H35">_xlfn.IFS(AND(H33="00",H34="00"),";H",AND(H33&lt;&gt;"00",H34&lt;&gt;"00"),CONCATENATE(H33,"-",I34,"(",I33,"-",H34,")"),AND(H33="00",H34&lt;&gt;"00"),CONCATENATE(H34,"-",I34),AND(H33&lt;&gt;"00",H34="00"),CONCATENATE(H33,"-",I33))</f>
        <v>;H</v>
      </c>
      <c r="I35" s="105"/>
      <c r="J35" s="104" t="str" cm="1">
        <f t="array" ref="J35">_xlfn.IFS(AND(J33="00",J34="00"),";H",AND(J33&lt;&gt;"00",J34&lt;&gt;"00"),CONCATENATE(J33,"-",K34,"(",K33,"-",J34,")"),AND(J33="00",J34&lt;&gt;"00"),CONCATENATE(J34,"-",K34),AND(J33&lt;&gt;"00",J34="00"),CONCATENATE(J33,"-",K33))</f>
        <v>;H</v>
      </c>
      <c r="K35" s="105"/>
      <c r="L35" s="104" t="str" cm="1">
        <f t="array" ref="L35">_xlfn.IFS(AND(L33="00",L34="00"),";H",AND(L33&lt;&gt;"00",L34&lt;&gt;"00"),CONCATENATE(L33,"-",M34,"(",M33,"-",L34,")"),AND(L33="00",L34&lt;&gt;"00"),CONCATENATE(L34,"-",M34),AND(L33&lt;&gt;"00",L34="00"),CONCATENATE(L33,"-",M33))</f>
        <v>;H</v>
      </c>
      <c r="M35" s="105"/>
      <c r="N35" s="104" t="str" cm="1">
        <f t="array" ref="N35">_xlfn.IFS(AND(N33="00",N34="00"),";H",AND(N33&lt;&gt;"00",N34&lt;&gt;"00"),CONCATENATE(N33,"-",O34,"(",O33,"-",N34,")"),AND(N33="00",N34&lt;&gt;"00"),CONCATENATE(N34,"-",O34),AND(N33&lt;&gt;"00",N34="00"),CONCATENATE(N33,"-",O33))</f>
        <v>;H</v>
      </c>
      <c r="O35" s="105"/>
      <c r="P35" s="104" t="str" cm="1">
        <f t="array" ref="P35">_xlfn.IFS(AND(P33="00",P34="00"),";H",AND(P33&lt;&gt;"00",P34&lt;&gt;"00"),CONCATENATE(P33,"-",Q34,"(",Q33,"-",P34,")"),AND(P33="00",P34&lt;&gt;"00"),CONCATENATE(P34,"-",Q34),AND(P33&lt;&gt;"00",P34="00"),CONCATENATE(P33,"-",Q33))</f>
        <v>;H</v>
      </c>
      <c r="Q35" s="105"/>
      <c r="R35" s="104" t="str" cm="1">
        <f t="array" ref="R35">_xlfn.IFS(AND(R33="00",R34="00"),";H",AND(R33&lt;&gt;"00",R34&lt;&gt;"00"),CONCATENATE(R33,"-",S34,"(",S33,"-",R34,")"),AND(R33="00",R34&lt;&gt;"00"),CONCATENATE(R34,"-",S34),AND(R33&lt;&gt;"00",R34="00"),CONCATENATE(R33,"-",S33))</f>
        <v>;H</v>
      </c>
      <c r="S35" s="105"/>
      <c r="T35" s="104" t="str" cm="1">
        <f t="array" ref="T35">_xlfn.IFS(AND(T33="00",T34="00"),";H",AND(T33&lt;&gt;"00",T34&lt;&gt;"00"),CONCATENATE(T33,"-",U34,"(",U33,"-",T34,")"),AND(T33="00",T34&lt;&gt;"00"),CONCATENATE(T34,"-",U34),AND(T33&lt;&gt;"00",T34="00"),CONCATENATE(T33,"-",U33))</f>
        <v>;H</v>
      </c>
      <c r="U35" s="105"/>
      <c r="V35" s="104" t="str" cm="1">
        <f t="array" ref="V35">_xlfn.IFS(AND(V33="00",V34="00"),";H",AND(V33&lt;&gt;"00",V34&lt;&gt;"00"),CONCATENATE(V33,"-",W34,"(",W33,"-",V34,")"),AND(V33="00",V34&lt;&gt;"00"),CONCATENATE(V34,"-",W34),AND(V33&lt;&gt;"00",V34="00"),CONCATENATE(V33,"-",W33))</f>
        <v>;H</v>
      </c>
      <c r="W35" s="105"/>
      <c r="X35" s="104" t="str" cm="1">
        <f t="array" ref="X35">_xlfn.IFS(AND(X33="00",X34="00"),";H",AND(X33&lt;&gt;"00",X34&lt;&gt;"00"),CONCATENATE(X33,"-",Y34,"(",Y33,"-",X34,")"),AND(X33="00",X34&lt;&gt;"00"),CONCATENATE(X34,"-",Y34),AND(X33&lt;&gt;"00",X34="00"),CONCATENATE(X33,"-",Y33))</f>
        <v>;H</v>
      </c>
      <c r="Y35" s="105"/>
      <c r="Z35" s="104" t="str" cm="1">
        <f t="array" ref="Z35">_xlfn.IFS(AND(Z33="00",Z34="00"),";H",AND(Z33&lt;&gt;"00",Z34&lt;&gt;"00"),CONCATENATE(Z33,"-",AA34,"(",AA33,"-",Z34,")"),AND(Z33="00",Z34&lt;&gt;"00"),CONCATENATE(Z34,"-",AA34),AND(Z33&lt;&gt;"00",Z34="00"),CONCATENATE(Z33,"-",AA33))</f>
        <v>;H</v>
      </c>
      <c r="AA35" s="105"/>
      <c r="AB35" s="104" t="str" cm="1">
        <f t="array" ref="AB35">_xlfn.IFS(AND(AB33="00",AB34="00"),";H",AND(AB33&lt;&gt;"00",AB34&lt;&gt;"00"),CONCATENATE(AB33,"-",AC34,"(",AC33,"-",AB34,")"),AND(AB33="00",AB34&lt;&gt;"00"),CONCATENATE(AB34,"-",AC34),AND(AB33&lt;&gt;"00",AB34="00"),CONCATENATE(AB33,"-",AC33))</f>
        <v>;H</v>
      </c>
      <c r="AC35" s="105"/>
      <c r="AD35" s="104" t="str" cm="1">
        <f t="array" ref="AD35">_xlfn.IFS(AND(AD33="00",AD34="00"),";H",AND(AD33&lt;&gt;"00",AD34&lt;&gt;"00"),CONCATENATE(AD33,"-",AE34,"(",AE33,"-",AD34,")"),AND(AD33="00",AD34&lt;&gt;"00"),CONCATENATE(AD34,"-",AE34),AND(AD33&lt;&gt;"00",AD34="00"),CONCATENATE(AD33,"-",AE33))</f>
        <v>;H</v>
      </c>
      <c r="AE35" s="105"/>
      <c r="AF35" s="104" t="str" cm="1">
        <f t="array" ref="AF35">_xlfn.IFS(AND(AF33="00",AF34="00"),";H",AND(AF33&lt;&gt;"00",AF34&lt;&gt;"00"),CONCATENATE(AF33,"-",AG34,"(",AG33,"-",AF34,")"),AND(AF33="00",AF34&lt;&gt;"00"),CONCATENATE(AF34,"-",AG34),AND(AF33&lt;&gt;"00",AF34="00"),CONCATENATE(AF33,"-",AG33))</f>
        <v>;H</v>
      </c>
      <c r="AG35" s="105"/>
      <c r="AH35" s="104" t="str" cm="1">
        <f t="array" ref="AH35">_xlfn.IFS(AND(AH33="00",AH34="00"),";H",AND(AH33&lt;&gt;"00",AH34&lt;&gt;"00"),CONCATENATE(AH33,"-",AI34,"(",AI33,"-",AH34,")"),AND(AH33="00",AH34&lt;&gt;"00"),CONCATENATE(AH34,"-",AI34),AND(AH33&lt;&gt;"00",AH34="00"),CONCATENATE(AH33,"-",AI33))</f>
        <v>;H</v>
      </c>
      <c r="AI35" s="105"/>
      <c r="AJ35" s="104" t="str" cm="1">
        <f t="array" ref="AJ35">_xlfn.IFS(AND(AJ33="00",AJ34="00"),";H",AND(AJ33&lt;&gt;"00",AJ34&lt;&gt;"00"),CONCATENATE(AJ33,"-",AK34,"(",AK33,"-",AJ34,")"),AND(AJ33="00",AJ34&lt;&gt;"00"),CONCATENATE(AJ34,"-",AK34),AND(AJ33&lt;&gt;"00",AJ34="00"),CONCATENATE(AJ33,"-",AK33))</f>
        <v>;H</v>
      </c>
      <c r="AK35" s="105"/>
      <c r="AL35" s="104" t="str" cm="1">
        <f t="array" ref="AL35">_xlfn.IFS(AND(AL33="00",AL34="00"),";H",AND(AL33&lt;&gt;"00",AL34&lt;&gt;"00"),CONCATENATE(AL33,"-",AM34,"(",AM33,"-",AL34,")"),AND(AL33="00",AL34&lt;&gt;"00"),CONCATENATE(AL34,"-",AM34),AND(AL33&lt;&gt;"00",AL34="00"),CONCATENATE(AL33,"-",AM33))</f>
        <v>;H</v>
      </c>
      <c r="AM35" s="105"/>
      <c r="AN35" s="104" t="str" cm="1">
        <f t="array" ref="AN35">_xlfn.IFS(AND(AN33="00",AN34="00"),";H",AND(AN33&lt;&gt;"00",AN34&lt;&gt;"00"),CONCATENATE(AN33,"-",AO34,"(",AO33,"-",AN34,")"),AND(AN33="00",AN34&lt;&gt;"00"),CONCATENATE(AN34,"-",AO34),AND(AN33&lt;&gt;"00",AN34="00"),CONCATENATE(AN33,"-",AO33))</f>
        <v>;H</v>
      </c>
      <c r="AO35" s="105"/>
      <c r="AP35" s="104" t="str" cm="1">
        <f t="array" ref="AP35">_xlfn.IFS(AND(AP33="00",AP34="00"),";H",AND(AP33&lt;&gt;"00",AP34&lt;&gt;"00"),CONCATENATE(AP33,"-",AQ34,"(",AQ33,"-",AP34,")"),AND(AP33="00",AP34&lt;&gt;"00"),CONCATENATE(AP34,"-",AQ34),AND(AP33&lt;&gt;"00",AP34="00"),CONCATENATE(AP33,"-",AQ33))</f>
        <v>;H</v>
      </c>
      <c r="AQ35" s="105"/>
      <c r="AR35" s="104" t="str" cm="1">
        <f t="array" ref="AR35">_xlfn.IFS(AND(AR33="00",AR34="00"),";H",AND(AR33&lt;&gt;"00",AR34&lt;&gt;"00"),CONCATENATE(AR33,"-",AS34,"(",AS33,"-",AR34,")"),AND(AR33="00",AR34&lt;&gt;"00"),CONCATENATE(AR34,"-",AS34),AND(AR33&lt;&gt;"00",AR34="00"),CONCATENATE(AR33,"-",AS33))</f>
        <v>;H</v>
      </c>
      <c r="AS35" s="105"/>
      <c r="AT35" s="104" t="str" cm="1">
        <f t="array" ref="AT35">_xlfn.IFS(AND(AT33="00",AT34="00"),";H",AND(AT33&lt;&gt;"00",AT34&lt;&gt;"00"),CONCATENATE(AT33,"-",AU34,"(",AU33,"-",AT34,")"),AND(AT33="00",AT34&lt;&gt;"00"),CONCATENATE(AT34,"-",AU34),AND(AT33&lt;&gt;"00",AT34="00"),CONCATENATE(AT33,"-",AU33))</f>
        <v>;H</v>
      </c>
      <c r="AU35" s="105"/>
      <c r="AV35" s="104" t="str" cm="1">
        <f t="array" ref="AV35">_xlfn.IFS(AND(AV33="00",AV34="00"),";H",AND(AV33&lt;&gt;"00",AV34&lt;&gt;"00"),CONCATENATE(AV33,"-",AW34,"(",AW33,"-",AV34,")"),AND(AV33="00",AV34&lt;&gt;"00"),CONCATENATE(AV34,"-",AW34),AND(AV33&lt;&gt;"00",AV34="00"),CONCATENATE(AV33,"-",AW33))</f>
        <v>;H</v>
      </c>
      <c r="AW35" s="105"/>
      <c r="AX35" s="104" t="str" cm="1">
        <f t="array" ref="AX35">_xlfn.IFS(AND(AX33="00",AX34="00"),";H",AND(AX33&lt;&gt;"00",AX34&lt;&gt;"00"),CONCATENATE(AX33,"-",AY34,"(",AY33,"-",AX34,")"),AND(AX33="00",AX34&lt;&gt;"00"),CONCATENATE(AX34,"-",AY34),AND(AX33&lt;&gt;"00",AX34="00"),CONCATENATE(AX33,"-",AY33))</f>
        <v>;H</v>
      </c>
      <c r="AY35" s="105"/>
      <c r="AZ35" s="104" t="str" cm="1">
        <f t="array" ref="AZ35">_xlfn.IFS(AND(AZ33="00",AZ34="00"),";H",AND(AZ33&lt;&gt;"00",AZ34&lt;&gt;"00"),CONCATENATE(AZ33,"-",BA34,"(",BA33,"-",AZ34,")"),AND(AZ33="00",AZ34&lt;&gt;"00"),CONCATENATE(AZ34,"-",BA34),AND(AZ33&lt;&gt;"00",AZ34="00"),CONCATENATE(AZ33,"-",BA33))</f>
        <v>;H</v>
      </c>
      <c r="BA35" s="105"/>
      <c r="BB35" s="104" t="str" cm="1">
        <f t="array" ref="BB35">_xlfn.IFS(AND(BB33="00",BB34="00"),";H",AND(BB33&lt;&gt;"00",BB34&lt;&gt;"00"),CONCATENATE(BB33,"-",BC34,"(",BC33,"-",BB34,")"),AND(BB33="00",BB34&lt;&gt;"00"),CONCATENATE(BB34,"-",BC34),AND(BB33&lt;&gt;"00",BB34="00"),CONCATENATE(BB33,"-",BC33))</f>
        <v>;H</v>
      </c>
      <c r="BC35" s="105"/>
      <c r="BD35" s="104" t="str" cm="1">
        <f t="array" ref="BD35">_xlfn.IFS(AND(BD33="00",BD34="00"),";H",AND(BD33&lt;&gt;"00",BD34&lt;&gt;"00"),CONCATENATE(BD33,"-",BE34,"(",BE33,"-",BD34,")"),AND(BD33="00",BD34&lt;&gt;"00"),CONCATENATE(BD34,"-",BE34),AND(BD33&lt;&gt;"00",BD34="00"),CONCATENATE(BD33,"-",BE33))</f>
        <v>;H</v>
      </c>
      <c r="BE35" s="105"/>
      <c r="BF35" s="104" t="str" cm="1">
        <f t="array" ref="BF35">_xlfn.IFS(AND(BF33="00",BF34="00"),";H",AND(BF33&lt;&gt;"00",BF34&lt;&gt;"00"),CONCATENATE(BF33,"-",BG34,"(",BG33,"-",BF34,")"),AND(BF33="00",BF34&lt;&gt;"00"),CONCATENATE(BF34,"-",BG34),AND(BF33&lt;&gt;"00",BF34="00"),CONCATENATE(BF33,"-",BG33))</f>
        <v>;H</v>
      </c>
      <c r="BG35" s="105"/>
      <c r="BH35" s="104" t="str" cm="1">
        <f t="array" ref="BH35">_xlfn.IFS(AND(BH33="00",BH34="00"),";H",AND(BH33&lt;&gt;"00",BH34&lt;&gt;"00"),CONCATENATE(BH33,"-",BI34,"(",BI33,"-",BH34,")"),AND(BH33="00",BH34&lt;&gt;"00"),CONCATENATE(BH34,"-",BI34),AND(BH33&lt;&gt;"00",BH34="00"),CONCATENATE(BH33,"-",BI33))</f>
        <v>;H</v>
      </c>
      <c r="BI35" s="105"/>
      <c r="BJ35" s="104" t="str" cm="1">
        <f t="array" ref="BJ35">_xlfn.IFS(AND(BJ33="00",BJ34="00"),";H",AND(BJ33&lt;&gt;"00",BJ34&lt;&gt;"00"),CONCATENATE(BJ33,"-",BK34,"(",BK33,"-",BJ34,")"),AND(BJ33="00",BJ34&lt;&gt;"00"),CONCATENATE(BJ34,"-",BK34),AND(BJ33&lt;&gt;"00",BJ34="00"),CONCATENATE(BJ33,"-",BK33))</f>
        <v>;H</v>
      </c>
      <c r="BK35" s="105"/>
      <c r="BL35" s="104" t="str" cm="1">
        <f t="array" ref="BL35">_xlfn.IFS(AND(BL33="00",BL34="00"),";H",AND(BL33&lt;&gt;"00",BL34&lt;&gt;"00"),CONCATENATE(BL33,"-",BM34,"(",BM33,"-",BL34,")"),AND(BL33="00",BL34&lt;&gt;"00"),CONCATENATE(BL34,"-",BM34),AND(BL33&lt;&gt;"00",BL34="00"),CONCATENATE(BL33,"-",BM33))</f>
        <v>;H</v>
      </c>
      <c r="BM35" s="105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81" ht="15" thickBot="1">
      <c r="A36" s="83"/>
      <c r="B36" s="145">
        <f>整月外場班表!B36</f>
        <v>0</v>
      </c>
      <c r="C36" s="93"/>
      <c r="D36" s="23" t="str">
        <f>IF(MOD(整月外場班表!D36,1)=0,CONCATENATE(整月外場班表!D36,"00"),CONCATENATE(INT(整月外場班表!D36),"30"))</f>
        <v>00</v>
      </c>
      <c r="E36" s="24" t="str">
        <f>IF(MOD(整月外場班表!E36,1)=0,CONCATENATE(整月外場班表!E36,"00"),CONCATENATE(INT(整月外場班表!E36),"30"))</f>
        <v>00</v>
      </c>
      <c r="F36" s="23" t="str">
        <f>IF(MOD(整月外場班表!F36,1)=0,CONCATENATE(整月外場班表!F36,"00"),CONCATENATE(INT(整月外場班表!F36),"30"))</f>
        <v>00</v>
      </c>
      <c r="G36" s="24" t="str">
        <f>IF(MOD(整月外場班表!G36,1)=0,CONCATENATE(整月外場班表!G36,"00"),CONCATENATE(INT(整月外場班表!G36),"30"))</f>
        <v>00</v>
      </c>
      <c r="H36" s="23" t="str">
        <f>IF(MOD(整月外場班表!H36,1)=0,CONCATENATE(整月外場班表!H36,"00"),CONCATENATE(INT(整月外場班表!H36),"30"))</f>
        <v>00</v>
      </c>
      <c r="I36" s="24" t="str">
        <f>IF(MOD(整月外場班表!I36,1)=0,CONCATENATE(整月外場班表!I36,"00"),CONCATENATE(INT(整月外場班表!I36),"30"))</f>
        <v>00</v>
      </c>
      <c r="J36" s="23" t="str">
        <f>IF(MOD(整月外場班表!J36,1)=0,CONCATENATE(整月外場班表!J36,"00"),CONCATENATE(INT(整月外場班表!J36),"30"))</f>
        <v>00</v>
      </c>
      <c r="K36" s="24" t="str">
        <f>IF(MOD(整月外場班表!K36,1)=0,CONCATENATE(整月外場班表!K36,"00"),CONCATENATE(INT(整月外場班表!K36),"30"))</f>
        <v>00</v>
      </c>
      <c r="L36" s="23" t="str">
        <f>IF(MOD(整月外場班表!L36,1)=0,CONCATENATE(整月外場班表!L36,"00"),CONCATENATE(INT(整月外場班表!L36),"30"))</f>
        <v>00</v>
      </c>
      <c r="M36" s="24" t="str">
        <f>IF(MOD(整月外場班表!M36,1)=0,CONCATENATE(整月外場班表!M36,"00"),CONCATENATE(INT(整月外場班表!M36),"30"))</f>
        <v>00</v>
      </c>
      <c r="N36" s="23" t="str">
        <f>IF(MOD(整月外場班表!N36,1)=0,CONCATENATE(整月外場班表!N36,"00"),CONCATENATE(INT(整月外場班表!N36),"30"))</f>
        <v>00</v>
      </c>
      <c r="O36" s="24" t="str">
        <f>IF(MOD(整月外場班表!O36,1)=0,CONCATENATE(整月外場班表!O36,"00"),CONCATENATE(INT(整月外場班表!O36),"30"))</f>
        <v>00</v>
      </c>
      <c r="P36" s="23" t="str">
        <f>IF(MOD(整月外場班表!P36,1)=0,CONCATENATE(整月外場班表!P36,"00"),CONCATENATE(INT(整月外場班表!P36),"30"))</f>
        <v>00</v>
      </c>
      <c r="Q36" s="24" t="str">
        <f>IF(MOD(整月外場班表!Q36,1)=0,CONCATENATE(整月外場班表!Q36,"00"),CONCATENATE(INT(整月外場班表!Q36),"30"))</f>
        <v>00</v>
      </c>
      <c r="R36" s="23" t="str">
        <f>IF(MOD(整月外場班表!R36,1)=0,CONCATENATE(整月外場班表!R36,"00"),CONCATENATE(INT(整月外場班表!R36),"30"))</f>
        <v>00</v>
      </c>
      <c r="S36" s="24" t="str">
        <f>IF(MOD(整月外場班表!S36,1)=0,CONCATENATE(整月外場班表!S36,"00"),CONCATENATE(INT(整月外場班表!S36),"30"))</f>
        <v>00</v>
      </c>
      <c r="T36" s="23" t="str">
        <f>IF(MOD(整月外場班表!T36,1)=0,CONCATENATE(整月外場班表!T36,"00"),CONCATENATE(INT(整月外場班表!T36),"30"))</f>
        <v>00</v>
      </c>
      <c r="U36" s="24" t="str">
        <f>IF(MOD(整月外場班表!U36,1)=0,CONCATENATE(整月外場班表!U36,"00"),CONCATENATE(INT(整月外場班表!U36),"30"))</f>
        <v>00</v>
      </c>
      <c r="V36" s="23" t="str">
        <f>IF(MOD(整月外場班表!V36,1)=0,CONCATENATE(整月外場班表!V36,"00"),CONCATENATE(INT(整月外場班表!V36),"30"))</f>
        <v>00</v>
      </c>
      <c r="W36" s="24" t="str">
        <f>IF(MOD(整月外場班表!W36,1)=0,CONCATENATE(整月外場班表!W36,"00"),CONCATENATE(INT(整月外場班表!W36),"30"))</f>
        <v>00</v>
      </c>
      <c r="X36" s="23" t="str">
        <f>IF(MOD(整月外場班表!X36,1)=0,CONCATENATE(整月外場班表!X36,"00"),CONCATENATE(INT(整月外場班表!X36),"30"))</f>
        <v>00</v>
      </c>
      <c r="Y36" s="24" t="str">
        <f>IF(MOD(整月外場班表!Y36,1)=0,CONCATENATE(整月外場班表!Y36,"00"),CONCATENATE(INT(整月外場班表!Y36),"30"))</f>
        <v>00</v>
      </c>
      <c r="Z36" s="23" t="str">
        <f>IF(MOD(整月外場班表!Z36,1)=0,CONCATENATE(整月外場班表!Z36,"00"),CONCATENATE(INT(整月外場班表!Z36),"30"))</f>
        <v>00</v>
      </c>
      <c r="AA36" s="24" t="str">
        <f>IF(MOD(整月外場班表!AA36,1)=0,CONCATENATE(整月外場班表!AA36,"00"),CONCATENATE(INT(整月外場班表!AA36),"30"))</f>
        <v>00</v>
      </c>
      <c r="AB36" s="23" t="str">
        <f>IF(MOD(整月外場班表!AB36,1)=0,CONCATENATE(整月外場班表!AB36,"00"),CONCATENATE(INT(整月外場班表!AB36),"30"))</f>
        <v>00</v>
      </c>
      <c r="AC36" s="24" t="str">
        <f>IF(MOD(整月外場班表!AC36,1)=0,CONCATENATE(整月外場班表!AC36,"00"),CONCATENATE(INT(整月外場班表!AC36),"30"))</f>
        <v>00</v>
      </c>
      <c r="AD36" s="23" t="str">
        <f>IF(MOD(整月外場班表!AD36,1)=0,CONCATENATE(整月外場班表!AD36,"00"),CONCATENATE(INT(整月外場班表!AD36),"30"))</f>
        <v>00</v>
      </c>
      <c r="AE36" s="24" t="str">
        <f>IF(MOD(整月外場班表!AE36,1)=0,CONCATENATE(整月外場班表!AE36,"00"),CONCATENATE(INT(整月外場班表!AE36),"30"))</f>
        <v>00</v>
      </c>
      <c r="AF36" s="23" t="str">
        <f>IF(MOD(整月外場班表!AF36,1)=0,CONCATENATE(整月外場班表!AF36,"00"),CONCATENATE(INT(整月外場班表!AF36),"30"))</f>
        <v>00</v>
      </c>
      <c r="AG36" s="24" t="str">
        <f>IF(MOD(整月外場班表!AG36,1)=0,CONCATENATE(整月外場班表!AG36,"00"),CONCATENATE(INT(整月外場班表!AG36),"30"))</f>
        <v>00</v>
      </c>
      <c r="AH36" s="23" t="str">
        <f>IF(MOD(整月外場班表!AH36,1)=0,CONCATENATE(整月外場班表!AH36,"00"),CONCATENATE(INT(整月外場班表!AH36),"30"))</f>
        <v>00</v>
      </c>
      <c r="AI36" s="24" t="str">
        <f>IF(MOD(整月外場班表!AI36,1)=0,CONCATENATE(整月外場班表!AI36,"00"),CONCATENATE(INT(整月外場班表!AI36),"30"))</f>
        <v>00</v>
      </c>
      <c r="AJ36" s="23" t="str">
        <f>IF(MOD(整月外場班表!AJ36,1)=0,CONCATENATE(整月外場班表!AJ36,"00"),CONCATENATE(INT(整月外場班表!AJ36),"30"))</f>
        <v>00</v>
      </c>
      <c r="AK36" s="24" t="str">
        <f>IF(MOD(整月外場班表!AK36,1)=0,CONCATENATE(整月外場班表!AK36,"00"),CONCATENATE(INT(整月外場班表!AK36),"30"))</f>
        <v>00</v>
      </c>
      <c r="AL36" s="23" t="str">
        <f>IF(MOD(整月外場班表!AL36,1)=0,CONCATENATE(整月外場班表!AL36,"00"),CONCATENATE(INT(整月外場班表!AL36),"30"))</f>
        <v>00</v>
      </c>
      <c r="AM36" s="24" t="str">
        <f>IF(MOD(整月外場班表!AM36,1)=0,CONCATENATE(整月外場班表!AM36,"00"),CONCATENATE(INT(整月外場班表!AM36),"30"))</f>
        <v>00</v>
      </c>
      <c r="AN36" s="23" t="str">
        <f>IF(MOD(整月外場班表!AN36,1)=0,CONCATENATE(整月外場班表!AN36,"00"),CONCATENATE(INT(整月外場班表!AN36),"30"))</f>
        <v>00</v>
      </c>
      <c r="AO36" s="24" t="str">
        <f>IF(MOD(整月外場班表!AO36,1)=0,CONCATENATE(整月外場班表!AO36,"00"),CONCATENATE(INT(整月外場班表!AO36),"30"))</f>
        <v>00</v>
      </c>
      <c r="AP36" s="23" t="str">
        <f>IF(MOD(整月外場班表!AP36,1)=0,CONCATENATE(整月外場班表!AP36,"00"),CONCATENATE(INT(整月外場班表!AP36),"30"))</f>
        <v>00</v>
      </c>
      <c r="AQ36" s="24" t="str">
        <f>IF(MOD(整月外場班表!AQ36,1)=0,CONCATENATE(整月外場班表!AQ36,"00"),CONCATENATE(INT(整月外場班表!AQ36),"30"))</f>
        <v>00</v>
      </c>
      <c r="AR36" s="23" t="str">
        <f>IF(MOD(整月外場班表!AR36,1)=0,CONCATENATE(整月外場班表!AR36,"00"),CONCATENATE(INT(整月外場班表!AR36),"30"))</f>
        <v>00</v>
      </c>
      <c r="AS36" s="24" t="str">
        <f>IF(MOD(整月外場班表!AS36,1)=0,CONCATENATE(整月外場班表!AS36,"00"),CONCATENATE(INT(整月外場班表!AS36),"30"))</f>
        <v>00</v>
      </c>
      <c r="AT36" s="23" t="str">
        <f>IF(MOD(整月外場班表!AT36,1)=0,CONCATENATE(整月外場班表!AT36,"00"),CONCATENATE(INT(整月外場班表!AT36),"30"))</f>
        <v>00</v>
      </c>
      <c r="AU36" s="24" t="str">
        <f>IF(MOD(整月外場班表!AU36,1)=0,CONCATENATE(整月外場班表!AU36,"00"),CONCATENATE(INT(整月外場班表!AU36),"30"))</f>
        <v>00</v>
      </c>
      <c r="AV36" s="23" t="str">
        <f>IF(MOD(整月外場班表!AV36,1)=0,CONCATENATE(整月外場班表!AV36,"00"),CONCATENATE(INT(整月外場班表!AV36),"30"))</f>
        <v>00</v>
      </c>
      <c r="AW36" s="24" t="str">
        <f>IF(MOD(整月外場班表!AW36,1)=0,CONCATENATE(整月外場班表!AW36,"00"),CONCATENATE(INT(整月外場班表!AW36),"30"))</f>
        <v>00</v>
      </c>
      <c r="AX36" s="23" t="str">
        <f>IF(MOD(整月外場班表!AX36,1)=0,CONCATENATE(整月外場班表!AX36,"00"),CONCATENATE(INT(整月外場班表!AX36),"30"))</f>
        <v>00</v>
      </c>
      <c r="AY36" s="24" t="str">
        <f>IF(MOD(整月外場班表!AY36,1)=0,CONCATENATE(整月外場班表!AY36,"00"),CONCATENATE(INT(整月外場班表!AY36),"30"))</f>
        <v>00</v>
      </c>
      <c r="AZ36" s="23" t="str">
        <f>IF(MOD(整月外場班表!AZ36,1)=0,CONCATENATE(整月外場班表!AZ36,"00"),CONCATENATE(INT(整月外場班表!AZ36),"30"))</f>
        <v>00</v>
      </c>
      <c r="BA36" s="24" t="str">
        <f>IF(MOD(整月外場班表!BA36,1)=0,CONCATENATE(整月外場班表!BA36,"00"),CONCATENATE(INT(整月外場班表!BA36),"30"))</f>
        <v>00</v>
      </c>
      <c r="BB36" s="23" t="str">
        <f>IF(MOD(整月外場班表!BB36,1)=0,CONCATENATE(整月外場班表!BB36,"00"),CONCATENATE(INT(整月外場班表!BB36),"30"))</f>
        <v>00</v>
      </c>
      <c r="BC36" s="24" t="str">
        <f>IF(MOD(整月外場班表!BC36,1)=0,CONCATENATE(整月外場班表!BC36,"00"),CONCATENATE(INT(整月外場班表!BC36),"30"))</f>
        <v>00</v>
      </c>
      <c r="BD36" s="23" t="str">
        <f>IF(MOD(整月外場班表!BD36,1)=0,CONCATENATE(整月外場班表!BD36,"00"),CONCATENATE(INT(整月外場班表!BD36),"30"))</f>
        <v>00</v>
      </c>
      <c r="BE36" s="24" t="str">
        <f>IF(MOD(整月外場班表!BE36,1)=0,CONCATENATE(整月外場班表!BE36,"00"),CONCATENATE(INT(整月外場班表!BE36),"30"))</f>
        <v>00</v>
      </c>
      <c r="BF36" s="23" t="str">
        <f>IF(MOD(整月外場班表!BF36,1)=0,CONCATENATE(整月外場班表!BF36,"00"),CONCATENATE(INT(整月外場班表!BF36),"30"))</f>
        <v>00</v>
      </c>
      <c r="BG36" s="24" t="str">
        <f>IF(MOD(整月外場班表!BG36,1)=0,CONCATENATE(整月外場班表!BG36,"00"),CONCATENATE(INT(整月外場班表!BG36),"30"))</f>
        <v>00</v>
      </c>
      <c r="BH36" s="23" t="str">
        <f>IF(MOD(整月外場班表!BH36,1)=0,CONCATENATE(整月外場班表!BH36,"00"),CONCATENATE(INT(整月外場班表!BH36),"30"))</f>
        <v>00</v>
      </c>
      <c r="BI36" s="24" t="str">
        <f>IF(MOD(整月外場班表!BI36,1)=0,CONCATENATE(整月外場班表!BI36,"00"),CONCATENATE(INT(整月外場班表!BI36),"30"))</f>
        <v>00</v>
      </c>
      <c r="BJ36" s="23" t="str">
        <f>IF(MOD(整月外場班表!BJ36,1)=0,CONCATENATE(整月外場班表!BJ36,"00"),CONCATENATE(INT(整月外場班表!BJ36),"30"))</f>
        <v>00</v>
      </c>
      <c r="BK36" s="24" t="str">
        <f>IF(MOD(整月外場班表!BK36,1)=0,CONCATENATE(整月外場班表!BK36,"00"),CONCATENATE(INT(整月外場班表!BK36),"30"))</f>
        <v>00</v>
      </c>
      <c r="BL36" s="23" t="str">
        <f>IF(MOD(整月外場班表!BL36,1)=0,CONCATENATE(整月外場班表!BL36,"00"),CONCATENATE(INT(整月外場班表!BL36),"30"))</f>
        <v>00</v>
      </c>
      <c r="BM36" s="24" t="str">
        <f>IF(MOD(整月外場班表!BM36,1)=0,CONCATENATE(整月外場班表!BM36,"00"),CONCATENATE(INT(整月外場班表!BM36),"30"))</f>
        <v>00</v>
      </c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81" ht="15" thickBot="1">
      <c r="A37" s="84"/>
      <c r="B37" s="86"/>
      <c r="C37" s="94"/>
      <c r="D37" s="25" t="str">
        <f>IF(MOD(整月外場班表!D37,1)=0,CONCATENATE(整月外場班表!D37,"00"),CONCATENATE(INT(整月外場班表!D37),"30"))</f>
        <v>00</v>
      </c>
      <c r="E37" s="26" t="str">
        <f>IF(MOD(整月外場班表!E37,1)=0,CONCATENATE(整月外場班表!E37,"00"),CONCATENATE(INT(整月外場班表!E37),"30"))</f>
        <v>00</v>
      </c>
      <c r="F37" s="25" t="str">
        <f>IF(MOD(整月外場班表!F37,1)=0,CONCATENATE(整月外場班表!F37,"00"),CONCATENATE(INT(整月外場班表!F37),"30"))</f>
        <v>00</v>
      </c>
      <c r="G37" s="26" t="str">
        <f>IF(MOD(整月外場班表!G37,1)=0,CONCATENATE(整月外場班表!G37,"00"),CONCATENATE(INT(整月外場班表!G37),"30"))</f>
        <v>00</v>
      </c>
      <c r="H37" s="25" t="str">
        <f>IF(MOD(整月外場班表!H37,1)=0,CONCATENATE(整月外場班表!H37,"00"),CONCATENATE(INT(整月外場班表!H37),"30"))</f>
        <v>00</v>
      </c>
      <c r="I37" s="26" t="str">
        <f>IF(MOD(整月外場班表!I37,1)=0,CONCATENATE(整月外場班表!I37,"00"),CONCATENATE(INT(整月外場班表!I37),"30"))</f>
        <v>00</v>
      </c>
      <c r="J37" s="25" t="str">
        <f>IF(MOD(整月外場班表!J37,1)=0,CONCATENATE(整月外場班表!J37,"00"),CONCATENATE(INT(整月外場班表!J37),"30"))</f>
        <v>00</v>
      </c>
      <c r="K37" s="26" t="str">
        <f>IF(MOD(整月外場班表!K37,1)=0,CONCATENATE(整月外場班表!K37,"00"),CONCATENATE(INT(整月外場班表!K37),"30"))</f>
        <v>00</v>
      </c>
      <c r="L37" s="25" t="str">
        <f>IF(MOD(整月外場班表!L37,1)=0,CONCATENATE(整月外場班表!L37,"00"),CONCATENATE(INT(整月外場班表!L37),"30"))</f>
        <v>00</v>
      </c>
      <c r="M37" s="26" t="str">
        <f>IF(MOD(整月外場班表!M37,1)=0,CONCATENATE(整月外場班表!M37,"00"),CONCATENATE(INT(整月外場班表!M37),"30"))</f>
        <v>00</v>
      </c>
      <c r="N37" s="25" t="str">
        <f>IF(MOD(整月外場班表!N37,1)=0,CONCATENATE(整月外場班表!N37,"00"),CONCATENATE(INT(整月外場班表!N37),"30"))</f>
        <v>00</v>
      </c>
      <c r="O37" s="26" t="str">
        <f>IF(MOD(整月外場班表!O37,1)=0,CONCATENATE(整月外場班表!O37,"00"),CONCATENATE(INT(整月外場班表!O37),"30"))</f>
        <v>00</v>
      </c>
      <c r="P37" s="25" t="str">
        <f>IF(MOD(整月外場班表!P37,1)=0,CONCATENATE(整月外場班表!P37,"00"),CONCATENATE(INT(整月外場班表!P37),"30"))</f>
        <v>00</v>
      </c>
      <c r="Q37" s="26" t="str">
        <f>IF(MOD(整月外場班表!Q37,1)=0,CONCATENATE(整月外場班表!Q37,"00"),CONCATENATE(INT(整月外場班表!Q37),"30"))</f>
        <v>00</v>
      </c>
      <c r="R37" s="25" t="str">
        <f>IF(MOD(整月外場班表!R37,1)=0,CONCATENATE(整月外場班表!R37,"00"),CONCATENATE(INT(整月外場班表!R37),"30"))</f>
        <v>00</v>
      </c>
      <c r="S37" s="26" t="str">
        <f>IF(MOD(整月外場班表!S37,1)=0,CONCATENATE(整月外場班表!S37,"00"),CONCATENATE(INT(整月外場班表!S37),"30"))</f>
        <v>00</v>
      </c>
      <c r="T37" s="25" t="str">
        <f>IF(MOD(整月外場班表!T37,1)=0,CONCATENATE(整月外場班表!T37,"00"),CONCATENATE(INT(整月外場班表!T37),"30"))</f>
        <v>00</v>
      </c>
      <c r="U37" s="26" t="str">
        <f>IF(MOD(整月外場班表!U37,1)=0,CONCATENATE(整月外場班表!U37,"00"),CONCATENATE(INT(整月外場班表!U37),"30"))</f>
        <v>00</v>
      </c>
      <c r="V37" s="25" t="str">
        <f>IF(MOD(整月外場班表!V37,1)=0,CONCATENATE(整月外場班表!V37,"00"),CONCATENATE(INT(整月外場班表!V37),"30"))</f>
        <v>00</v>
      </c>
      <c r="W37" s="26" t="str">
        <f>IF(MOD(整月外場班表!W37,1)=0,CONCATENATE(整月外場班表!W37,"00"),CONCATENATE(INT(整月外場班表!W37),"30"))</f>
        <v>00</v>
      </c>
      <c r="X37" s="25" t="str">
        <f>IF(MOD(整月外場班表!X37,1)=0,CONCATENATE(整月外場班表!X37,"00"),CONCATENATE(INT(整月外場班表!X37),"30"))</f>
        <v>00</v>
      </c>
      <c r="Y37" s="26" t="str">
        <f>IF(MOD(整月外場班表!Y37,1)=0,CONCATENATE(整月外場班表!Y37,"00"),CONCATENATE(INT(整月外場班表!Y37),"30"))</f>
        <v>00</v>
      </c>
      <c r="Z37" s="25" t="str">
        <f>IF(MOD(整月外場班表!Z37,1)=0,CONCATENATE(整月外場班表!Z37,"00"),CONCATENATE(INT(整月外場班表!Z37),"30"))</f>
        <v>00</v>
      </c>
      <c r="AA37" s="26" t="str">
        <f>IF(MOD(整月外場班表!AA37,1)=0,CONCATENATE(整月外場班表!AA37,"00"),CONCATENATE(INT(整月外場班表!AA37),"30"))</f>
        <v>00</v>
      </c>
      <c r="AB37" s="25" t="str">
        <f>IF(MOD(整月外場班表!AB37,1)=0,CONCATENATE(整月外場班表!AB37,"00"),CONCATENATE(INT(整月外場班表!AB37),"30"))</f>
        <v>00</v>
      </c>
      <c r="AC37" s="26" t="str">
        <f>IF(MOD(整月外場班表!AC37,1)=0,CONCATENATE(整月外場班表!AC37,"00"),CONCATENATE(INT(整月外場班表!AC37),"30"))</f>
        <v>00</v>
      </c>
      <c r="AD37" s="25" t="str">
        <f>IF(MOD(整月外場班表!AD37,1)=0,CONCATENATE(整月外場班表!AD37,"00"),CONCATENATE(INT(整月外場班表!AD37),"30"))</f>
        <v>00</v>
      </c>
      <c r="AE37" s="26" t="str">
        <f>IF(MOD(整月外場班表!AE37,1)=0,CONCATENATE(整月外場班表!AE37,"00"),CONCATENATE(INT(整月外場班表!AE37),"30"))</f>
        <v>00</v>
      </c>
      <c r="AF37" s="25" t="str">
        <f>IF(MOD(整月外場班表!AF37,1)=0,CONCATENATE(整月外場班表!AF37,"00"),CONCATENATE(INT(整月外場班表!AF37),"30"))</f>
        <v>00</v>
      </c>
      <c r="AG37" s="26" t="str">
        <f>IF(MOD(整月外場班表!AG37,1)=0,CONCATENATE(整月外場班表!AG37,"00"),CONCATENATE(INT(整月外場班表!AG37),"30"))</f>
        <v>00</v>
      </c>
      <c r="AH37" s="25" t="str">
        <f>IF(MOD(整月外場班表!AH37,1)=0,CONCATENATE(整月外場班表!AH37,"00"),CONCATENATE(INT(整月外場班表!AH37),"30"))</f>
        <v>00</v>
      </c>
      <c r="AI37" s="26" t="str">
        <f>IF(MOD(整月外場班表!AI37,1)=0,CONCATENATE(整月外場班表!AI37,"00"),CONCATENATE(INT(整月外場班表!AI37),"30"))</f>
        <v>00</v>
      </c>
      <c r="AJ37" s="25" t="str">
        <f>IF(MOD(整月外場班表!AJ37,1)=0,CONCATENATE(整月外場班表!AJ37,"00"),CONCATENATE(INT(整月外場班表!AJ37),"30"))</f>
        <v>00</v>
      </c>
      <c r="AK37" s="26" t="str">
        <f>IF(MOD(整月外場班表!AK37,1)=0,CONCATENATE(整月外場班表!AK37,"00"),CONCATENATE(INT(整月外場班表!AK37),"30"))</f>
        <v>00</v>
      </c>
      <c r="AL37" s="25" t="str">
        <f>IF(MOD(整月外場班表!AL37,1)=0,CONCATENATE(整月外場班表!AL37,"00"),CONCATENATE(INT(整月外場班表!AL37),"30"))</f>
        <v>00</v>
      </c>
      <c r="AM37" s="26" t="str">
        <f>IF(MOD(整月外場班表!AM37,1)=0,CONCATENATE(整月外場班表!AM37,"00"),CONCATENATE(INT(整月外場班表!AM37),"30"))</f>
        <v>00</v>
      </c>
      <c r="AN37" s="25" t="str">
        <f>IF(MOD(整月外場班表!AN37,1)=0,CONCATENATE(整月外場班表!AN37,"00"),CONCATENATE(INT(整月外場班表!AN37),"30"))</f>
        <v>00</v>
      </c>
      <c r="AO37" s="26" t="str">
        <f>IF(MOD(整月外場班表!AO37,1)=0,CONCATENATE(整月外場班表!AO37,"00"),CONCATENATE(INT(整月外場班表!AO37),"30"))</f>
        <v>00</v>
      </c>
      <c r="AP37" s="25" t="str">
        <f>IF(MOD(整月外場班表!AP37,1)=0,CONCATENATE(整月外場班表!AP37,"00"),CONCATENATE(INT(整月外場班表!AP37),"30"))</f>
        <v>00</v>
      </c>
      <c r="AQ37" s="26" t="str">
        <f>IF(MOD(整月外場班表!AQ37,1)=0,CONCATENATE(整月外場班表!AQ37,"00"),CONCATENATE(INT(整月外場班表!AQ37),"30"))</f>
        <v>00</v>
      </c>
      <c r="AR37" s="25" t="str">
        <f>IF(MOD(整月外場班表!AR37,1)=0,CONCATENATE(整月外場班表!AR37,"00"),CONCATENATE(INT(整月外場班表!AR37),"30"))</f>
        <v>00</v>
      </c>
      <c r="AS37" s="26" t="str">
        <f>IF(MOD(整月外場班表!AS37,1)=0,CONCATENATE(整月外場班表!AS37,"00"),CONCATENATE(INT(整月外場班表!AS37),"30"))</f>
        <v>00</v>
      </c>
      <c r="AT37" s="25" t="str">
        <f>IF(MOD(整月外場班表!AT37,1)=0,CONCATENATE(整月外場班表!AT37,"00"),CONCATENATE(INT(整月外場班表!AT37),"30"))</f>
        <v>00</v>
      </c>
      <c r="AU37" s="26" t="str">
        <f>IF(MOD(整月外場班表!AU37,1)=0,CONCATENATE(整月外場班表!AU37,"00"),CONCATENATE(INT(整月外場班表!AU37),"30"))</f>
        <v>00</v>
      </c>
      <c r="AV37" s="25" t="str">
        <f>IF(MOD(整月外場班表!AV37,1)=0,CONCATENATE(整月外場班表!AV37,"00"),CONCATENATE(INT(整月外場班表!AV37),"30"))</f>
        <v>00</v>
      </c>
      <c r="AW37" s="26" t="str">
        <f>IF(MOD(整月外場班表!AW37,1)=0,CONCATENATE(整月外場班表!AW37,"00"),CONCATENATE(INT(整月外場班表!AW37),"30"))</f>
        <v>00</v>
      </c>
      <c r="AX37" s="25" t="str">
        <f>IF(MOD(整月外場班表!AX37,1)=0,CONCATENATE(整月外場班表!AX37,"00"),CONCATENATE(INT(整月外場班表!AX37),"30"))</f>
        <v>00</v>
      </c>
      <c r="AY37" s="26" t="str">
        <f>IF(MOD(整月外場班表!AY37,1)=0,CONCATENATE(整月外場班表!AY37,"00"),CONCATENATE(INT(整月外場班表!AY37),"30"))</f>
        <v>00</v>
      </c>
      <c r="AZ37" s="25" t="str">
        <f>IF(MOD(整月外場班表!AZ37,1)=0,CONCATENATE(整月外場班表!AZ37,"00"),CONCATENATE(INT(整月外場班表!AZ37),"30"))</f>
        <v>00</v>
      </c>
      <c r="BA37" s="26" t="str">
        <f>IF(MOD(整月外場班表!BA37,1)=0,CONCATENATE(整月外場班表!BA37,"00"),CONCATENATE(INT(整月外場班表!BA37),"30"))</f>
        <v>00</v>
      </c>
      <c r="BB37" s="25" t="str">
        <f>IF(MOD(整月外場班表!BB37,1)=0,CONCATENATE(整月外場班表!BB37,"00"),CONCATENATE(INT(整月外場班表!BB37),"30"))</f>
        <v>00</v>
      </c>
      <c r="BC37" s="26" t="str">
        <f>IF(MOD(整月外場班表!BC37,1)=0,CONCATENATE(整月外場班表!BC37,"00"),CONCATENATE(INT(整月外場班表!BC37),"30"))</f>
        <v>00</v>
      </c>
      <c r="BD37" s="25" t="str">
        <f>IF(MOD(整月外場班表!BD37,1)=0,CONCATENATE(整月外場班表!BD37,"00"),CONCATENATE(INT(整月外場班表!BD37),"30"))</f>
        <v>00</v>
      </c>
      <c r="BE37" s="26" t="str">
        <f>IF(MOD(整月外場班表!BE37,1)=0,CONCATENATE(整月外場班表!BE37,"00"),CONCATENATE(INT(整月外場班表!BE37),"30"))</f>
        <v>00</v>
      </c>
      <c r="BF37" s="25" t="str">
        <f>IF(MOD(整月外場班表!BF37,1)=0,CONCATENATE(整月外場班表!BF37,"00"),CONCATENATE(INT(整月外場班表!BF37),"30"))</f>
        <v>00</v>
      </c>
      <c r="BG37" s="26" t="str">
        <f>IF(MOD(整月外場班表!BG37,1)=0,CONCATENATE(整月外場班表!BG37,"00"),CONCATENATE(INT(整月外場班表!BG37),"30"))</f>
        <v>00</v>
      </c>
      <c r="BH37" s="25" t="str">
        <f>IF(MOD(整月外場班表!BH37,1)=0,CONCATENATE(整月外場班表!BH37,"00"),CONCATENATE(INT(整月外場班表!BH37),"30"))</f>
        <v>00</v>
      </c>
      <c r="BI37" s="26" t="str">
        <f>IF(MOD(整月外場班表!BI37,1)=0,CONCATENATE(整月外場班表!BI37,"00"),CONCATENATE(INT(整月外場班表!BI37),"30"))</f>
        <v>00</v>
      </c>
      <c r="BJ37" s="25" t="str">
        <f>IF(MOD(整月外場班表!BJ37,1)=0,CONCATENATE(整月外場班表!BJ37,"00"),CONCATENATE(INT(整月外場班表!BJ37),"30"))</f>
        <v>00</v>
      </c>
      <c r="BK37" s="26" t="str">
        <f>IF(MOD(整月外場班表!BK37,1)=0,CONCATENATE(整月外場班表!BK37,"00"),CONCATENATE(INT(整月外場班表!BK37),"30"))</f>
        <v>00</v>
      </c>
      <c r="BL37" s="25" t="str">
        <f>IF(MOD(整月外場班表!BL37,1)=0,CONCATENATE(整月外場班表!BL37,"00"),CONCATENATE(INT(整月外場班表!BL37),"30"))</f>
        <v>00</v>
      </c>
      <c r="BM37" s="26" t="str">
        <f>IF(MOD(整月外場班表!BM37,1)=0,CONCATENATE(整月外場班表!BM37,"00"),CONCATENATE(INT(整月外場班表!BM37),"30"))</f>
        <v>00</v>
      </c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81" ht="40" customHeight="1" thickBot="1">
      <c r="A38" s="47"/>
      <c r="B38" s="84"/>
      <c r="C38" s="95"/>
      <c r="D38" s="104" t="str" cm="1">
        <f t="array" ref="D38">_xlfn.IFS(AND(D36="00",D37="00"),";H",AND(D36&lt;&gt;"00",D37&lt;&gt;"00"),CONCATENATE(D36,"-",E37,"(",E36,"-",D37,")"),AND(D36="00",D37&lt;&gt;"00"),CONCATENATE(D37,"-",E37),AND(D36&lt;&gt;"00",D37="00"),CONCATENATE(D36,"-",E36))</f>
        <v>;H</v>
      </c>
      <c r="E38" s="105"/>
      <c r="F38" s="104" t="str" cm="1">
        <f t="array" ref="F38">_xlfn.IFS(AND(F36="00",F37="00"),";H",AND(F36&lt;&gt;"00",F37&lt;&gt;"00"),CONCATENATE(F36,"-",G37,"(",G36,"-",F37,")"),AND(F36="00",F37&lt;&gt;"00"),CONCATENATE(F37,"-",G37),AND(F36&lt;&gt;"00",F37="00"),CONCATENATE(F36,"-",G36))</f>
        <v>;H</v>
      </c>
      <c r="G38" s="105"/>
      <c r="H38" s="104" t="str" cm="1">
        <f t="array" ref="H38">_xlfn.IFS(AND(H36="00",H37="00"),";H",AND(H36&lt;&gt;"00",H37&lt;&gt;"00"),CONCATENATE(H36,"-",I37,"(",I36,"-",H37,")"),AND(H36="00",H37&lt;&gt;"00"),CONCATENATE(H37,"-",I37),AND(H36&lt;&gt;"00",H37="00"),CONCATENATE(H36,"-",I36))</f>
        <v>;H</v>
      </c>
      <c r="I38" s="105"/>
      <c r="J38" s="104" t="str" cm="1">
        <f t="array" ref="J38">_xlfn.IFS(AND(J36="00",J37="00"),";H",AND(J36&lt;&gt;"00",J37&lt;&gt;"00"),CONCATENATE(J36,"-",K37,"(",K36,"-",J37,")"),AND(J36="00",J37&lt;&gt;"00"),CONCATENATE(J37,"-",K37),AND(J36&lt;&gt;"00",J37="00"),CONCATENATE(J36,"-",K36))</f>
        <v>;H</v>
      </c>
      <c r="K38" s="105"/>
      <c r="L38" s="104" t="str" cm="1">
        <f t="array" ref="L38">_xlfn.IFS(AND(L36="00",L37="00"),";H",AND(L36&lt;&gt;"00",L37&lt;&gt;"00"),CONCATENATE(L36,"-",M37,"(",M36,"-",L37,")"),AND(L36="00",L37&lt;&gt;"00"),CONCATENATE(L37,"-",M37),AND(L36&lt;&gt;"00",L37="00"),CONCATENATE(L36,"-",M36))</f>
        <v>;H</v>
      </c>
      <c r="M38" s="105"/>
      <c r="N38" s="104" t="str" cm="1">
        <f t="array" ref="N38">_xlfn.IFS(AND(N36="00",N37="00"),";H",AND(N36&lt;&gt;"00",N37&lt;&gt;"00"),CONCATENATE(N36,"-",O37,"(",O36,"-",N37,")"),AND(N36="00",N37&lt;&gt;"00"),CONCATENATE(N37,"-",O37),AND(N36&lt;&gt;"00",N37="00"),CONCATENATE(N36,"-",O36))</f>
        <v>;H</v>
      </c>
      <c r="O38" s="105"/>
      <c r="P38" s="104" t="str" cm="1">
        <f t="array" ref="P38">_xlfn.IFS(AND(P36="00",P37="00"),";H",AND(P36&lt;&gt;"00",P37&lt;&gt;"00"),CONCATENATE(P36,"-",Q37,"(",Q36,"-",P37,")"),AND(P36="00",P37&lt;&gt;"00"),CONCATENATE(P37,"-",Q37),AND(P36&lt;&gt;"00",P37="00"),CONCATENATE(P36,"-",Q36))</f>
        <v>;H</v>
      </c>
      <c r="Q38" s="105"/>
      <c r="R38" s="104" t="str" cm="1">
        <f t="array" ref="R38">_xlfn.IFS(AND(R36="00",R37="00"),";H",AND(R36&lt;&gt;"00",R37&lt;&gt;"00"),CONCATENATE(R36,"-",S37,"(",S36,"-",R37,")"),AND(R36="00",R37&lt;&gt;"00"),CONCATENATE(R37,"-",S37),AND(R36&lt;&gt;"00",R37="00"),CONCATENATE(R36,"-",S36))</f>
        <v>;H</v>
      </c>
      <c r="S38" s="105"/>
      <c r="T38" s="104" t="str" cm="1">
        <f t="array" ref="T38">_xlfn.IFS(AND(T36="00",T37="00"),";H",AND(T36&lt;&gt;"00",T37&lt;&gt;"00"),CONCATENATE(T36,"-",U37,"(",U36,"-",T37,")"),AND(T36="00",T37&lt;&gt;"00"),CONCATENATE(T37,"-",U37),AND(T36&lt;&gt;"00",T37="00"),CONCATENATE(T36,"-",U36))</f>
        <v>;H</v>
      </c>
      <c r="U38" s="105"/>
      <c r="V38" s="104" t="str" cm="1">
        <f t="array" ref="V38">_xlfn.IFS(AND(V36="00",V37="00"),";H",AND(V36&lt;&gt;"00",V37&lt;&gt;"00"),CONCATENATE(V36,"-",W37,"(",W36,"-",V37,")"),AND(V36="00",V37&lt;&gt;"00"),CONCATENATE(V37,"-",W37),AND(V36&lt;&gt;"00",V37="00"),CONCATENATE(V36,"-",W36))</f>
        <v>;H</v>
      </c>
      <c r="W38" s="105"/>
      <c r="X38" s="104" t="str" cm="1">
        <f t="array" ref="X38">_xlfn.IFS(AND(X36="00",X37="00"),";H",AND(X36&lt;&gt;"00",X37&lt;&gt;"00"),CONCATENATE(X36,"-",Y37,"(",Y36,"-",X37,")"),AND(X36="00",X37&lt;&gt;"00"),CONCATENATE(X37,"-",Y37),AND(X36&lt;&gt;"00",X37="00"),CONCATENATE(X36,"-",Y36))</f>
        <v>;H</v>
      </c>
      <c r="Y38" s="105"/>
      <c r="Z38" s="104" t="str" cm="1">
        <f t="array" ref="Z38">_xlfn.IFS(AND(Z36="00",Z37="00"),";H",AND(Z36&lt;&gt;"00",Z37&lt;&gt;"00"),CONCATENATE(Z36,"-",AA37,"(",AA36,"-",Z37,")"),AND(Z36="00",Z37&lt;&gt;"00"),CONCATENATE(Z37,"-",AA37),AND(Z36&lt;&gt;"00",Z37="00"),CONCATENATE(Z36,"-",AA36))</f>
        <v>;H</v>
      </c>
      <c r="AA38" s="105"/>
      <c r="AB38" s="104" t="str" cm="1">
        <f t="array" ref="AB38">_xlfn.IFS(AND(AB36="00",AB37="00"),";H",AND(AB36&lt;&gt;"00",AB37&lt;&gt;"00"),CONCATENATE(AB36,"-",AC37,"(",AC36,"-",AB37,")"),AND(AB36="00",AB37&lt;&gt;"00"),CONCATENATE(AB37,"-",AC37),AND(AB36&lt;&gt;"00",AB37="00"),CONCATENATE(AB36,"-",AC36))</f>
        <v>;H</v>
      </c>
      <c r="AC38" s="105"/>
      <c r="AD38" s="104" t="str" cm="1">
        <f t="array" ref="AD38">_xlfn.IFS(AND(AD36="00",AD37="00"),";H",AND(AD36&lt;&gt;"00",AD37&lt;&gt;"00"),CONCATENATE(AD36,"-",AE37,"(",AE36,"-",AD37,")"),AND(AD36="00",AD37&lt;&gt;"00"),CONCATENATE(AD37,"-",AE37),AND(AD36&lt;&gt;"00",AD37="00"),CONCATENATE(AD36,"-",AE36))</f>
        <v>;H</v>
      </c>
      <c r="AE38" s="105"/>
      <c r="AF38" s="104" t="str" cm="1">
        <f t="array" ref="AF38">_xlfn.IFS(AND(AF36="00",AF37="00"),";H",AND(AF36&lt;&gt;"00",AF37&lt;&gt;"00"),CONCATENATE(AF36,"-",AG37,"(",AG36,"-",AF37,")"),AND(AF36="00",AF37&lt;&gt;"00"),CONCATENATE(AF37,"-",AG37),AND(AF36&lt;&gt;"00",AF37="00"),CONCATENATE(AF36,"-",AG36))</f>
        <v>;H</v>
      </c>
      <c r="AG38" s="105"/>
      <c r="AH38" s="104" t="str" cm="1">
        <f t="array" ref="AH38">_xlfn.IFS(AND(AH36="00",AH37="00"),";H",AND(AH36&lt;&gt;"00",AH37&lt;&gt;"00"),CONCATENATE(AH36,"-",AI37,"(",AI36,"-",AH37,")"),AND(AH36="00",AH37&lt;&gt;"00"),CONCATENATE(AH37,"-",AI37),AND(AH36&lt;&gt;"00",AH37="00"),CONCATENATE(AH36,"-",AI36))</f>
        <v>;H</v>
      </c>
      <c r="AI38" s="105"/>
      <c r="AJ38" s="104" t="str" cm="1">
        <f t="array" ref="AJ38">_xlfn.IFS(AND(AJ36="00",AJ37="00"),";H",AND(AJ36&lt;&gt;"00",AJ37&lt;&gt;"00"),CONCATENATE(AJ36,"-",AK37,"(",AK36,"-",AJ37,")"),AND(AJ36="00",AJ37&lt;&gt;"00"),CONCATENATE(AJ37,"-",AK37),AND(AJ36&lt;&gt;"00",AJ37="00"),CONCATENATE(AJ36,"-",AK36))</f>
        <v>;H</v>
      </c>
      <c r="AK38" s="105"/>
      <c r="AL38" s="104" t="str" cm="1">
        <f t="array" ref="AL38">_xlfn.IFS(AND(AL36="00",AL37="00"),";H",AND(AL36&lt;&gt;"00",AL37&lt;&gt;"00"),CONCATENATE(AL36,"-",AM37,"(",AM36,"-",AL37,")"),AND(AL36="00",AL37&lt;&gt;"00"),CONCATENATE(AL37,"-",AM37),AND(AL36&lt;&gt;"00",AL37="00"),CONCATENATE(AL36,"-",AM36))</f>
        <v>;H</v>
      </c>
      <c r="AM38" s="105"/>
      <c r="AN38" s="104" t="str" cm="1">
        <f t="array" ref="AN38">_xlfn.IFS(AND(AN36="00",AN37="00"),";H",AND(AN36&lt;&gt;"00",AN37&lt;&gt;"00"),CONCATENATE(AN36,"-",AO37,"(",AO36,"-",AN37,")"),AND(AN36="00",AN37&lt;&gt;"00"),CONCATENATE(AN37,"-",AO37),AND(AN36&lt;&gt;"00",AN37="00"),CONCATENATE(AN36,"-",AO36))</f>
        <v>;H</v>
      </c>
      <c r="AO38" s="105"/>
      <c r="AP38" s="104" t="str" cm="1">
        <f t="array" ref="AP38">_xlfn.IFS(AND(AP36="00",AP37="00"),";H",AND(AP36&lt;&gt;"00",AP37&lt;&gt;"00"),CONCATENATE(AP36,"-",AQ37,"(",AQ36,"-",AP37,")"),AND(AP36="00",AP37&lt;&gt;"00"),CONCATENATE(AP37,"-",AQ37),AND(AP36&lt;&gt;"00",AP37="00"),CONCATENATE(AP36,"-",AQ36))</f>
        <v>;H</v>
      </c>
      <c r="AQ38" s="105"/>
      <c r="AR38" s="104" t="str" cm="1">
        <f t="array" ref="AR38">_xlfn.IFS(AND(AR36="00",AR37="00"),";H",AND(AR36&lt;&gt;"00",AR37&lt;&gt;"00"),CONCATENATE(AR36,"-",AS37,"(",AS36,"-",AR37,")"),AND(AR36="00",AR37&lt;&gt;"00"),CONCATENATE(AR37,"-",AS37),AND(AR36&lt;&gt;"00",AR37="00"),CONCATENATE(AR36,"-",AS36))</f>
        <v>;H</v>
      </c>
      <c r="AS38" s="105"/>
      <c r="AT38" s="104" t="str" cm="1">
        <f t="array" ref="AT38">_xlfn.IFS(AND(AT36="00",AT37="00"),";H",AND(AT36&lt;&gt;"00",AT37&lt;&gt;"00"),CONCATENATE(AT36,"-",AU37,"(",AU36,"-",AT37,")"),AND(AT36="00",AT37&lt;&gt;"00"),CONCATENATE(AT37,"-",AU37),AND(AT36&lt;&gt;"00",AT37="00"),CONCATENATE(AT36,"-",AU36))</f>
        <v>;H</v>
      </c>
      <c r="AU38" s="105"/>
      <c r="AV38" s="104" t="str" cm="1">
        <f t="array" ref="AV38">_xlfn.IFS(AND(AV36="00",AV37="00"),";H",AND(AV36&lt;&gt;"00",AV37&lt;&gt;"00"),CONCATENATE(AV36,"-",AW37,"(",AW36,"-",AV37,")"),AND(AV36="00",AV37&lt;&gt;"00"),CONCATENATE(AV37,"-",AW37),AND(AV36&lt;&gt;"00",AV37="00"),CONCATENATE(AV36,"-",AW36))</f>
        <v>;H</v>
      </c>
      <c r="AW38" s="105"/>
      <c r="AX38" s="104" t="str" cm="1">
        <f t="array" ref="AX38">_xlfn.IFS(AND(AX36="00",AX37="00"),";H",AND(AX36&lt;&gt;"00",AX37&lt;&gt;"00"),CONCATENATE(AX36,"-",AY37,"(",AY36,"-",AX37,")"),AND(AX36="00",AX37&lt;&gt;"00"),CONCATENATE(AX37,"-",AY37),AND(AX36&lt;&gt;"00",AX37="00"),CONCATENATE(AX36,"-",AY36))</f>
        <v>;H</v>
      </c>
      <c r="AY38" s="105"/>
      <c r="AZ38" s="104" t="str" cm="1">
        <f t="array" ref="AZ38">_xlfn.IFS(AND(AZ36="00",AZ37="00"),";H",AND(AZ36&lt;&gt;"00",AZ37&lt;&gt;"00"),CONCATENATE(AZ36,"-",BA37,"(",BA36,"-",AZ37,")"),AND(AZ36="00",AZ37&lt;&gt;"00"),CONCATENATE(AZ37,"-",BA37),AND(AZ36&lt;&gt;"00",AZ37="00"),CONCATENATE(AZ36,"-",BA36))</f>
        <v>;H</v>
      </c>
      <c r="BA38" s="105"/>
      <c r="BB38" s="104" t="str" cm="1">
        <f t="array" ref="BB38">_xlfn.IFS(AND(BB36="00",BB37="00"),";H",AND(BB36&lt;&gt;"00",BB37&lt;&gt;"00"),CONCATENATE(BB36,"-",BC37,"(",BC36,"-",BB37,")"),AND(BB36="00",BB37&lt;&gt;"00"),CONCATENATE(BB37,"-",BC37),AND(BB36&lt;&gt;"00",BB37="00"),CONCATENATE(BB36,"-",BC36))</f>
        <v>;H</v>
      </c>
      <c r="BC38" s="105"/>
      <c r="BD38" s="104" t="str" cm="1">
        <f t="array" ref="BD38">_xlfn.IFS(AND(BD36="00",BD37="00"),";H",AND(BD36&lt;&gt;"00",BD37&lt;&gt;"00"),CONCATENATE(BD36,"-",BE37,"(",BE36,"-",BD37,")"),AND(BD36="00",BD37&lt;&gt;"00"),CONCATENATE(BD37,"-",BE37),AND(BD36&lt;&gt;"00",BD37="00"),CONCATENATE(BD36,"-",BE36))</f>
        <v>;H</v>
      </c>
      <c r="BE38" s="105"/>
      <c r="BF38" s="104" t="str" cm="1">
        <f t="array" ref="BF38">_xlfn.IFS(AND(BF36="00",BF37="00"),";H",AND(BF36&lt;&gt;"00",BF37&lt;&gt;"00"),CONCATENATE(BF36,"-",BG37,"(",BG36,"-",BF37,")"),AND(BF36="00",BF37&lt;&gt;"00"),CONCATENATE(BF37,"-",BG37),AND(BF36&lt;&gt;"00",BF37="00"),CONCATENATE(BF36,"-",BG36))</f>
        <v>;H</v>
      </c>
      <c r="BG38" s="105"/>
      <c r="BH38" s="104" t="str" cm="1">
        <f t="array" ref="BH38">_xlfn.IFS(AND(BH36="00",BH37="00"),";H",AND(BH36&lt;&gt;"00",BH37&lt;&gt;"00"),CONCATENATE(BH36,"-",BI37,"(",BI36,"-",BH37,")"),AND(BH36="00",BH37&lt;&gt;"00"),CONCATENATE(BH37,"-",BI37),AND(BH36&lt;&gt;"00",BH37="00"),CONCATENATE(BH36,"-",BI36))</f>
        <v>;H</v>
      </c>
      <c r="BI38" s="105"/>
      <c r="BJ38" s="104" t="str" cm="1">
        <f t="array" ref="BJ38">_xlfn.IFS(AND(BJ36="00",BJ37="00"),";H",AND(BJ36&lt;&gt;"00",BJ37&lt;&gt;"00"),CONCATENATE(BJ36,"-",BK37,"(",BK36,"-",BJ37,")"),AND(BJ36="00",BJ37&lt;&gt;"00"),CONCATENATE(BJ37,"-",BK37),AND(BJ36&lt;&gt;"00",BJ37="00"),CONCATENATE(BJ36,"-",BK36))</f>
        <v>;H</v>
      </c>
      <c r="BK38" s="105"/>
      <c r="BL38" s="104" t="str" cm="1">
        <f t="array" ref="BL38">_xlfn.IFS(AND(BL36="00",BL37="00"),";H",AND(BL36&lt;&gt;"00",BL37&lt;&gt;"00"),CONCATENATE(BL36,"-",BM37,"(",BM36,"-",BL37,")"),AND(BL36="00",BL37&lt;&gt;"00"),CONCATENATE(BL37,"-",BM37),AND(BL36&lt;&gt;"00",BL37="00"),CONCATENATE(BL36,"-",BM36))</f>
        <v>;H</v>
      </c>
      <c r="BM38" s="105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81" ht="15" thickBot="1">
      <c r="A39" s="83"/>
      <c r="B39" s="145" t="str">
        <f>整月外場班表!B42</f>
        <v>梁芷瑄</v>
      </c>
      <c r="C39" s="93"/>
      <c r="D39" s="23" t="str">
        <f>IF(MOD(整月外場班表!D42,1)=0,CONCATENATE(整月外場班表!D42,"00"),CONCATENATE(INT(整月外場班表!D42),"30"))</f>
        <v>900</v>
      </c>
      <c r="E39" s="24" t="str">
        <f>IF(MOD(整月外場班表!E42,1)=0,CONCATENATE(整月外場班表!E42,"00"),CONCATENATE(INT(整月外場班表!E42),"30"))</f>
        <v>1300</v>
      </c>
      <c r="F39" s="23" t="str">
        <f>IF(MOD(整月外場班表!F42,1)=0,CONCATENATE(整月外場班表!F42,"00"),CONCATENATE(INT(整月外場班表!F42),"30"))</f>
        <v>00</v>
      </c>
      <c r="G39" s="24" t="str">
        <f>IF(MOD(整月外場班表!G42,1)=0,CONCATENATE(整月外場班表!G42,"00"),CONCATENATE(INT(整月外場班表!G42),"30"))</f>
        <v>00</v>
      </c>
      <c r="H39" s="23" t="str">
        <f>IF(MOD(整月外場班表!H42,1)=0,CONCATENATE(整月外場班表!H42,"00"),CONCATENATE(INT(整月外場班表!H42),"30"))</f>
        <v>00</v>
      </c>
      <c r="I39" s="24" t="str">
        <f>IF(MOD(整月外場班表!I42,1)=0,CONCATENATE(整月外場班表!I42,"00"),CONCATENATE(INT(整月外場班表!I42),"30"))</f>
        <v>00</v>
      </c>
      <c r="J39" s="23" t="str">
        <f>IF(MOD(整月外場班表!J42,1)=0,CONCATENATE(整月外場班表!J42,"00"),CONCATENATE(INT(整月外場班表!J42),"30"))</f>
        <v>00</v>
      </c>
      <c r="K39" s="24" t="str">
        <f>IF(MOD(整月外場班表!K42,1)=0,CONCATENATE(整月外場班表!K42,"00"),CONCATENATE(INT(整月外場班表!K42),"30"))</f>
        <v>00</v>
      </c>
      <c r="L39" s="23" t="str">
        <f>IF(MOD(整月外場班表!L42,1)=0,CONCATENATE(整月外場班表!L42,"00"),CONCATENATE(INT(整月外場班表!L42),"30"))</f>
        <v>00</v>
      </c>
      <c r="M39" s="24" t="str">
        <f>IF(MOD(整月外場班表!M42,1)=0,CONCATENATE(整月外場班表!M42,"00"),CONCATENATE(INT(整月外場班表!M42),"30"))</f>
        <v>00</v>
      </c>
      <c r="N39" s="23" t="str">
        <f>IF(MOD(整月外場班表!N42,1)=0,CONCATENATE(整月外場班表!N42,"00"),CONCATENATE(INT(整月外場班表!N42),"30"))</f>
        <v>00</v>
      </c>
      <c r="O39" s="24" t="str">
        <f>IF(MOD(整月外場班表!O42,1)=0,CONCATENATE(整月外場班表!O42,"00"),CONCATENATE(INT(整月外場班表!O42),"30"))</f>
        <v>00</v>
      </c>
      <c r="P39" s="23" t="str">
        <f>IF(MOD(整月外場班表!P42,1)=0,CONCATENATE(整月外場班表!P42,"00"),CONCATENATE(INT(整月外場班表!P42),"30"))</f>
        <v>00</v>
      </c>
      <c r="Q39" s="24" t="str">
        <f>IF(MOD(整月外場班表!Q42,1)=0,CONCATENATE(整月外場班表!Q42,"00"),CONCATENATE(INT(整月外場班表!Q42),"30"))</f>
        <v>00</v>
      </c>
      <c r="R39" s="23" t="str">
        <f>IF(MOD(整月外場班表!R42,1)=0,CONCATENATE(整月外場班表!R42,"00"),CONCATENATE(INT(整月外場班表!R42),"30"))</f>
        <v>00</v>
      </c>
      <c r="S39" s="24" t="str">
        <f>IF(MOD(整月外場班表!S42,1)=0,CONCATENATE(整月外場班表!S42,"00"),CONCATENATE(INT(整月外場班表!S42),"30"))</f>
        <v>00</v>
      </c>
      <c r="T39" s="23" t="str">
        <f>IF(MOD(整月外場班表!T42,1)=0,CONCATENATE(整月外場班表!T42,"00"),CONCATENATE(INT(整月外場班表!T42),"30"))</f>
        <v>00</v>
      </c>
      <c r="U39" s="24" t="str">
        <f>IF(MOD(整月外場班表!U42,1)=0,CONCATENATE(整月外場班表!U42,"00"),CONCATENATE(INT(整月外場班表!U42),"30"))</f>
        <v>00</v>
      </c>
      <c r="V39" s="23" t="str">
        <f>IF(MOD(整月外場班表!V42,1)=0,CONCATENATE(整月外場班表!V42,"00"),CONCATENATE(INT(整月外場班表!V42),"30"))</f>
        <v>00</v>
      </c>
      <c r="W39" s="24" t="str">
        <f>IF(MOD(整月外場班表!W42,1)=0,CONCATENATE(整月外場班表!W42,"00"),CONCATENATE(INT(整月外場班表!W42),"30"))</f>
        <v>00</v>
      </c>
      <c r="X39" s="23" t="str">
        <f>IF(MOD(整月外場班表!X42,1)=0,CONCATENATE(整月外場班表!X42,"00"),CONCATENATE(INT(整月外場班表!X42),"30"))</f>
        <v>00</v>
      </c>
      <c r="Y39" s="24" t="str">
        <f>IF(MOD(整月外場班表!Y42,1)=0,CONCATENATE(整月外場班表!Y42,"00"),CONCATENATE(INT(整月外場班表!Y42),"30"))</f>
        <v>00</v>
      </c>
      <c r="Z39" s="23" t="str">
        <f>IF(MOD(整月外場班表!Z42,1)=0,CONCATENATE(整月外場班表!Z42,"00"),CONCATENATE(INT(整月外場班表!Z42),"30"))</f>
        <v>00</v>
      </c>
      <c r="AA39" s="24" t="str">
        <f>IF(MOD(整月外場班表!AA42,1)=0,CONCATENATE(整月外場班表!AA42,"00"),CONCATENATE(INT(整月外場班表!AA42),"30"))</f>
        <v>00</v>
      </c>
      <c r="AB39" s="23" t="str">
        <f>IF(MOD(整月外場班表!AB42,1)=0,CONCATENATE(整月外場班表!AB42,"00"),CONCATENATE(INT(整月外場班表!AB42),"30"))</f>
        <v>00</v>
      </c>
      <c r="AC39" s="24" t="str">
        <f>IF(MOD(整月外場班表!AC42,1)=0,CONCATENATE(整月外場班表!AC42,"00"),CONCATENATE(INT(整月外場班表!AC42),"30"))</f>
        <v>00</v>
      </c>
      <c r="AD39" s="23" t="str">
        <f>IF(MOD(整月外場班表!AD42,1)=0,CONCATENATE(整月外場班表!AD42,"00"),CONCATENATE(INT(整月外場班表!AD42),"30"))</f>
        <v>00</v>
      </c>
      <c r="AE39" s="24" t="str">
        <f>IF(MOD(整月外場班表!AE42,1)=0,CONCATENATE(整月外場班表!AE42,"00"),CONCATENATE(INT(整月外場班表!AE42),"30"))</f>
        <v>00</v>
      </c>
      <c r="AF39" s="23" t="str">
        <f>IF(MOD(整月外場班表!AF42,1)=0,CONCATENATE(整月外場班表!AF42,"00"),CONCATENATE(INT(整月外場班表!AF42),"30"))</f>
        <v>00</v>
      </c>
      <c r="AG39" s="24" t="str">
        <f>IF(MOD(整月外場班表!AG42,1)=0,CONCATENATE(整月外場班表!AG42,"00"),CONCATENATE(INT(整月外場班表!AG42),"30"))</f>
        <v>00</v>
      </c>
      <c r="AH39" s="23" t="str">
        <f>IF(MOD(整月外場班表!AH42,1)=0,CONCATENATE(整月外場班表!AH42,"00"),CONCATENATE(INT(整月外場班表!AH42),"30"))</f>
        <v>00</v>
      </c>
      <c r="AI39" s="24" t="str">
        <f>IF(MOD(整月外場班表!AI42,1)=0,CONCATENATE(整月外場班表!AI42,"00"),CONCATENATE(INT(整月外場班表!AI42),"30"))</f>
        <v>00</v>
      </c>
      <c r="AJ39" s="23" t="str">
        <f>IF(MOD(整月外場班表!AJ42,1)=0,CONCATENATE(整月外場班表!AJ42,"00"),CONCATENATE(INT(整月外場班表!AJ42),"30"))</f>
        <v>00</v>
      </c>
      <c r="AK39" s="24" t="str">
        <f>IF(MOD(整月外場班表!AK42,1)=0,CONCATENATE(整月外場班表!AK42,"00"),CONCATENATE(INT(整月外場班表!AK42),"30"))</f>
        <v>00</v>
      </c>
      <c r="AL39" s="23" t="str">
        <f>IF(MOD(整月外場班表!AL42,1)=0,CONCATENATE(整月外場班表!AL42,"00"),CONCATENATE(INT(整月外場班表!AL42),"30"))</f>
        <v>00</v>
      </c>
      <c r="AM39" s="24" t="str">
        <f>IF(MOD(整月外場班表!AM42,1)=0,CONCATENATE(整月外場班表!AM42,"00"),CONCATENATE(INT(整月外場班表!AM42),"30"))</f>
        <v>00</v>
      </c>
      <c r="AN39" s="23" t="str">
        <f>IF(MOD(整月外場班表!AN42,1)=0,CONCATENATE(整月外場班表!AN42,"00"),CONCATENATE(INT(整月外場班表!AN42),"30"))</f>
        <v>00</v>
      </c>
      <c r="AO39" s="24" t="str">
        <f>IF(MOD(整月外場班表!AO42,1)=0,CONCATENATE(整月外場班表!AO42,"00"),CONCATENATE(INT(整月外場班表!AO42),"30"))</f>
        <v>00</v>
      </c>
      <c r="AP39" s="23" t="str">
        <f>IF(MOD(整月外場班表!AP42,1)=0,CONCATENATE(整月外場班表!AP42,"00"),CONCATENATE(INT(整月外場班表!AP42),"30"))</f>
        <v>00</v>
      </c>
      <c r="AQ39" s="24" t="str">
        <f>IF(MOD(整月外場班表!AQ42,1)=0,CONCATENATE(整月外場班表!AQ42,"00"),CONCATENATE(INT(整月外場班表!AQ42),"30"))</f>
        <v>00</v>
      </c>
      <c r="AR39" s="23" t="str">
        <f>IF(MOD(整月外場班表!AR42,1)=0,CONCATENATE(整月外場班表!AR42,"00"),CONCATENATE(INT(整月外場班表!AR42),"30"))</f>
        <v>00</v>
      </c>
      <c r="AS39" s="24" t="str">
        <f>IF(MOD(整月外場班表!AS42,1)=0,CONCATENATE(整月外場班表!AS42,"00"),CONCATENATE(INT(整月外場班表!AS42),"30"))</f>
        <v>00</v>
      </c>
      <c r="AT39" s="23" t="str">
        <f>IF(MOD(整月外場班表!AT42,1)=0,CONCATENATE(整月外場班表!AT42,"00"),CONCATENATE(INT(整月外場班表!AT42),"30"))</f>
        <v>00</v>
      </c>
      <c r="AU39" s="24" t="str">
        <f>IF(MOD(整月外場班表!AU42,1)=0,CONCATENATE(整月外場班表!AU42,"00"),CONCATENATE(INT(整月外場班表!AU42),"30"))</f>
        <v>00</v>
      </c>
      <c r="AV39" s="23" t="str">
        <f>IF(MOD(整月外場班表!AV42,1)=0,CONCATENATE(整月外場班表!AV42,"00"),CONCATENATE(INT(整月外場班表!AV42),"30"))</f>
        <v>00</v>
      </c>
      <c r="AW39" s="24" t="str">
        <f>IF(MOD(整月外場班表!AW42,1)=0,CONCATENATE(整月外場班表!AW42,"00"),CONCATENATE(INT(整月外場班表!AW42),"30"))</f>
        <v>00</v>
      </c>
      <c r="AX39" s="23" t="str">
        <f>IF(MOD(整月外場班表!AX42,1)=0,CONCATENATE(整月外場班表!AX42,"00"),CONCATENATE(INT(整月外場班表!AX42),"30"))</f>
        <v>00</v>
      </c>
      <c r="AY39" s="24" t="str">
        <f>IF(MOD(整月外場班表!AY42,1)=0,CONCATENATE(整月外場班表!AY42,"00"),CONCATENATE(INT(整月外場班表!AY42),"30"))</f>
        <v>00</v>
      </c>
      <c r="AZ39" s="23" t="str">
        <f>IF(MOD(整月外場班表!AZ42,1)=0,CONCATENATE(整月外場班表!AZ42,"00"),CONCATENATE(INT(整月外場班表!AZ42),"30"))</f>
        <v>00</v>
      </c>
      <c r="BA39" s="24" t="str">
        <f>IF(MOD(整月外場班表!BA42,1)=0,CONCATENATE(整月外場班表!BA42,"00"),CONCATENATE(INT(整月外場班表!BA42),"30"))</f>
        <v>00</v>
      </c>
      <c r="BB39" s="23" t="str">
        <f>IF(MOD(整月外場班表!BB42,1)=0,CONCATENATE(整月外場班表!BB42,"00"),CONCATENATE(INT(整月外場班表!BB42),"30"))</f>
        <v>00</v>
      </c>
      <c r="BC39" s="24" t="str">
        <f>IF(MOD(整月外場班表!BC42,1)=0,CONCATENATE(整月外場班表!BC42,"00"),CONCATENATE(INT(整月外場班表!BC42),"30"))</f>
        <v>00</v>
      </c>
      <c r="BD39" s="23" t="str">
        <f>IF(MOD(整月外場班表!BD42,1)=0,CONCATENATE(整月外場班表!BD42,"00"),CONCATENATE(INT(整月外場班表!BD42),"30"))</f>
        <v>00</v>
      </c>
      <c r="BE39" s="24" t="str">
        <f>IF(MOD(整月外場班表!BE42,1)=0,CONCATENATE(整月外場班表!BE42,"00"),CONCATENATE(INT(整月外場班表!BE42),"30"))</f>
        <v>00</v>
      </c>
      <c r="BF39" s="23" t="str">
        <f>IF(MOD(整月外場班表!BF42,1)=0,CONCATENATE(整月外場班表!BF42,"00"),CONCATENATE(INT(整月外場班表!BF42),"30"))</f>
        <v>00</v>
      </c>
      <c r="BG39" s="24" t="str">
        <f>IF(MOD(整月外場班表!BG42,1)=0,CONCATENATE(整月外場班表!BG42,"00"),CONCATENATE(INT(整月外場班表!BG42),"30"))</f>
        <v>00</v>
      </c>
      <c r="BH39" s="23" t="str">
        <f>IF(MOD(整月外場班表!BH42,1)=0,CONCATENATE(整月外場班表!BH42,"00"),CONCATENATE(INT(整月外場班表!BH42),"30"))</f>
        <v>00</v>
      </c>
      <c r="BI39" s="24" t="str">
        <f>IF(MOD(整月外場班表!BI42,1)=0,CONCATENATE(整月外場班表!BI42,"00"),CONCATENATE(INT(整月外場班表!BI42),"30"))</f>
        <v>00</v>
      </c>
      <c r="BJ39" s="23" t="str">
        <f>IF(MOD(整月外場班表!BJ42,1)=0,CONCATENATE(整月外場班表!BJ42,"00"),CONCATENATE(INT(整月外場班表!BJ42),"30"))</f>
        <v>00</v>
      </c>
      <c r="BK39" s="24" t="str">
        <f>IF(MOD(整月外場班表!BK42,1)=0,CONCATENATE(整月外場班表!BK42,"00"),CONCATENATE(INT(整月外場班表!BK42),"30"))</f>
        <v>00</v>
      </c>
      <c r="BL39" s="23" t="str">
        <f>IF(MOD(整月外場班表!BL42,1)=0,CONCATENATE(整月外場班表!BL42,"00"),CONCATENATE(INT(整月外場班表!BL42),"30"))</f>
        <v>00</v>
      </c>
      <c r="BM39" s="24" t="str">
        <f>IF(MOD(整月外場班表!BM42,1)=0,CONCATENATE(整月外場班表!BM42,"00"),CONCATENATE(INT(整月外場班表!BM42),"30"))</f>
        <v>00</v>
      </c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81" ht="15" thickBot="1">
      <c r="A40" s="84"/>
      <c r="B40" s="86"/>
      <c r="C40" s="94"/>
      <c r="D40" s="25" t="str">
        <f>IF(MOD(整月外場班表!D43,1)=0,CONCATENATE(整月外場班表!D43,"00"),CONCATENATE(INT(整月外場班表!D43),"30"))</f>
        <v>1400</v>
      </c>
      <c r="E40" s="26" t="str">
        <f>IF(MOD(整月外場班表!E43,1)=0,CONCATENATE(整月外場班表!E43,"00"),CONCATENATE(INT(整月外場班表!E43),"30"))</f>
        <v>1800</v>
      </c>
      <c r="F40" s="25" t="str">
        <f>IF(MOD(整月外場班表!F43,1)=0,CONCATENATE(整月外場班表!F43,"00"),CONCATENATE(INT(整月外場班表!F43),"30"))</f>
        <v>00</v>
      </c>
      <c r="G40" s="26" t="str">
        <f>IF(MOD(整月外場班表!G43,1)=0,CONCATENATE(整月外場班表!G43,"00"),CONCATENATE(INT(整月外場班表!G43),"30"))</f>
        <v>00</v>
      </c>
      <c r="H40" s="25" t="str">
        <f>IF(MOD(整月外場班表!H43,1)=0,CONCATENATE(整月外場班表!H43,"00"),CONCATENATE(INT(整月外場班表!H43),"30"))</f>
        <v>00</v>
      </c>
      <c r="I40" s="26" t="str">
        <f>IF(MOD(整月外場班表!I43,1)=0,CONCATENATE(整月外場班表!I43,"00"),CONCATENATE(INT(整月外場班表!I43),"30"))</f>
        <v>00</v>
      </c>
      <c r="J40" s="25" t="str">
        <f>IF(MOD(整月外場班表!J43,1)=0,CONCATENATE(整月外場班表!J43,"00"),CONCATENATE(INT(整月外場班表!J43),"30"))</f>
        <v>00</v>
      </c>
      <c r="K40" s="26" t="str">
        <f>IF(MOD(整月外場班表!K43,1)=0,CONCATENATE(整月外場班表!K43,"00"),CONCATENATE(INT(整月外場班表!K43),"30"))</f>
        <v>00</v>
      </c>
      <c r="L40" s="25" t="str">
        <f>IF(MOD(整月外場班表!L43,1)=0,CONCATENATE(整月外場班表!L43,"00"),CONCATENATE(INT(整月外場班表!L43),"30"))</f>
        <v>00</v>
      </c>
      <c r="M40" s="26" t="str">
        <f>IF(MOD(整月外場班表!M43,1)=0,CONCATENATE(整月外場班表!M43,"00"),CONCATENATE(INT(整月外場班表!M43),"30"))</f>
        <v>00</v>
      </c>
      <c r="N40" s="25" t="str">
        <f>IF(MOD(整月外場班表!N43,1)=0,CONCATENATE(整月外場班表!N43,"00"),CONCATENATE(INT(整月外場班表!N43),"30"))</f>
        <v>00</v>
      </c>
      <c r="O40" s="26" t="str">
        <f>IF(MOD(整月外場班表!O43,1)=0,CONCATENATE(整月外場班表!O43,"00"),CONCATENATE(INT(整月外場班表!O43),"30"))</f>
        <v>00</v>
      </c>
      <c r="P40" s="25" t="str">
        <f>IF(MOD(整月外場班表!P43,1)=0,CONCATENATE(整月外場班表!P43,"00"),CONCATENATE(INT(整月外場班表!P43),"30"))</f>
        <v>00</v>
      </c>
      <c r="Q40" s="26" t="str">
        <f>IF(MOD(整月外場班表!Q43,1)=0,CONCATENATE(整月外場班表!Q43,"00"),CONCATENATE(INT(整月外場班表!Q43),"30"))</f>
        <v>00</v>
      </c>
      <c r="R40" s="25" t="str">
        <f>IF(MOD(整月外場班表!R43,1)=0,CONCATENATE(整月外場班表!R43,"00"),CONCATENATE(INT(整月外場班表!R43),"30"))</f>
        <v>00</v>
      </c>
      <c r="S40" s="26" t="str">
        <f>IF(MOD(整月外場班表!S43,1)=0,CONCATENATE(整月外場班表!S43,"00"),CONCATENATE(INT(整月外場班表!S43),"30"))</f>
        <v>00</v>
      </c>
      <c r="T40" s="25" t="str">
        <f>IF(MOD(整月外場班表!T43,1)=0,CONCATENATE(整月外場班表!T43,"00"),CONCATENATE(INT(整月外場班表!T43),"30"))</f>
        <v>00</v>
      </c>
      <c r="U40" s="26" t="str">
        <f>IF(MOD(整月外場班表!U43,1)=0,CONCATENATE(整月外場班表!U43,"00"),CONCATENATE(INT(整月外場班表!U43),"30"))</f>
        <v>00</v>
      </c>
      <c r="V40" s="25" t="str">
        <f>IF(MOD(整月外場班表!V43,1)=0,CONCATENATE(整月外場班表!V43,"00"),CONCATENATE(INT(整月外場班表!V43),"30"))</f>
        <v>00</v>
      </c>
      <c r="W40" s="26" t="str">
        <f>IF(MOD(整月外場班表!W43,1)=0,CONCATENATE(整月外場班表!W43,"00"),CONCATENATE(INT(整月外場班表!W43),"30"))</f>
        <v>00</v>
      </c>
      <c r="X40" s="25" t="str">
        <f>IF(MOD(整月外場班表!X43,1)=0,CONCATENATE(整月外場班表!X43,"00"),CONCATENATE(INT(整月外場班表!X43),"30"))</f>
        <v>00</v>
      </c>
      <c r="Y40" s="26" t="str">
        <f>IF(MOD(整月外場班表!Y43,1)=0,CONCATENATE(整月外場班表!Y43,"00"),CONCATENATE(INT(整月外場班表!Y43),"30"))</f>
        <v>00</v>
      </c>
      <c r="Z40" s="25" t="str">
        <f>IF(MOD(整月外場班表!Z43,1)=0,CONCATENATE(整月外場班表!Z43,"00"),CONCATENATE(INT(整月外場班表!Z43),"30"))</f>
        <v>00</v>
      </c>
      <c r="AA40" s="26" t="str">
        <f>IF(MOD(整月外場班表!AA43,1)=0,CONCATENATE(整月外場班表!AA43,"00"),CONCATENATE(INT(整月外場班表!AA43),"30"))</f>
        <v>00</v>
      </c>
      <c r="AB40" s="25" t="str">
        <f>IF(MOD(整月外場班表!AB43,1)=0,CONCATENATE(整月外場班表!AB43,"00"),CONCATENATE(INT(整月外場班表!AB43),"30"))</f>
        <v>00</v>
      </c>
      <c r="AC40" s="26" t="str">
        <f>IF(MOD(整月外場班表!AC43,1)=0,CONCATENATE(整月外場班表!AC43,"00"),CONCATENATE(INT(整月外場班表!AC43),"30"))</f>
        <v>00</v>
      </c>
      <c r="AD40" s="25" t="str">
        <f>IF(MOD(整月外場班表!AD43,1)=0,CONCATENATE(整月外場班表!AD43,"00"),CONCATENATE(INT(整月外場班表!AD43),"30"))</f>
        <v>00</v>
      </c>
      <c r="AE40" s="26" t="str">
        <f>IF(MOD(整月外場班表!AE43,1)=0,CONCATENATE(整月外場班表!AE43,"00"),CONCATENATE(INT(整月外場班表!AE43),"30"))</f>
        <v>00</v>
      </c>
      <c r="AF40" s="25" t="str">
        <f>IF(MOD(整月外場班表!AF43,1)=0,CONCATENATE(整月外場班表!AF43,"00"),CONCATENATE(INT(整月外場班表!AF43),"30"))</f>
        <v>00</v>
      </c>
      <c r="AG40" s="26" t="str">
        <f>IF(MOD(整月外場班表!AG43,1)=0,CONCATENATE(整月外場班表!AG43,"00"),CONCATENATE(INT(整月外場班表!AG43),"30"))</f>
        <v>00</v>
      </c>
      <c r="AH40" s="25" t="str">
        <f>IF(MOD(整月外場班表!AH43,1)=0,CONCATENATE(整月外場班表!AH43,"00"),CONCATENATE(INT(整月外場班表!AH43),"30"))</f>
        <v>00</v>
      </c>
      <c r="AI40" s="26" t="str">
        <f>IF(MOD(整月外場班表!AI43,1)=0,CONCATENATE(整月外場班表!AI43,"00"),CONCATENATE(INT(整月外場班表!AI43),"30"))</f>
        <v>00</v>
      </c>
      <c r="AJ40" s="25" t="str">
        <f>IF(MOD(整月外場班表!AJ43,1)=0,CONCATENATE(整月外場班表!AJ43,"00"),CONCATENATE(INT(整月外場班表!AJ43),"30"))</f>
        <v>00</v>
      </c>
      <c r="AK40" s="26" t="str">
        <f>IF(MOD(整月外場班表!AK43,1)=0,CONCATENATE(整月外場班表!AK43,"00"),CONCATENATE(INT(整月外場班表!AK43),"30"))</f>
        <v>00</v>
      </c>
      <c r="AL40" s="25" t="str">
        <f>IF(MOD(整月外場班表!AL43,1)=0,CONCATENATE(整月外場班表!AL43,"00"),CONCATENATE(INT(整月外場班表!AL43),"30"))</f>
        <v>00</v>
      </c>
      <c r="AM40" s="26" t="str">
        <f>IF(MOD(整月外場班表!AM43,1)=0,CONCATENATE(整月外場班表!AM43,"00"),CONCATENATE(INT(整月外場班表!AM43),"30"))</f>
        <v>00</v>
      </c>
      <c r="AN40" s="25" t="str">
        <f>IF(MOD(整月外場班表!AN43,1)=0,CONCATENATE(整月外場班表!AN43,"00"),CONCATENATE(INT(整月外場班表!AN43),"30"))</f>
        <v>00</v>
      </c>
      <c r="AO40" s="26" t="str">
        <f>IF(MOD(整月外場班表!AO43,1)=0,CONCATENATE(整月外場班表!AO43,"00"),CONCATENATE(INT(整月外場班表!AO43),"30"))</f>
        <v>00</v>
      </c>
      <c r="AP40" s="25" t="str">
        <f>IF(MOD(整月外場班表!AP43,1)=0,CONCATENATE(整月外場班表!AP43,"00"),CONCATENATE(INT(整月外場班表!AP43),"30"))</f>
        <v>00</v>
      </c>
      <c r="AQ40" s="26" t="str">
        <f>IF(MOD(整月外場班表!AQ43,1)=0,CONCATENATE(整月外場班表!AQ43,"00"),CONCATENATE(INT(整月外場班表!AQ43),"30"))</f>
        <v>00</v>
      </c>
      <c r="AR40" s="25" t="str">
        <f>IF(MOD(整月外場班表!AR43,1)=0,CONCATENATE(整月外場班表!AR43,"00"),CONCATENATE(INT(整月外場班表!AR43),"30"))</f>
        <v>00</v>
      </c>
      <c r="AS40" s="26" t="str">
        <f>IF(MOD(整月外場班表!AS43,1)=0,CONCATENATE(整月外場班表!AS43,"00"),CONCATENATE(INT(整月外場班表!AS43),"30"))</f>
        <v>00</v>
      </c>
      <c r="AT40" s="25" t="str">
        <f>IF(MOD(整月外場班表!AT43,1)=0,CONCATENATE(整月外場班表!AT43,"00"),CONCATENATE(INT(整月外場班表!AT43),"30"))</f>
        <v>00</v>
      </c>
      <c r="AU40" s="26" t="str">
        <f>IF(MOD(整月外場班表!AU43,1)=0,CONCATENATE(整月外場班表!AU43,"00"),CONCATENATE(INT(整月外場班表!AU43),"30"))</f>
        <v>00</v>
      </c>
      <c r="AV40" s="25" t="str">
        <f>IF(MOD(整月外場班表!AV43,1)=0,CONCATENATE(整月外場班表!AV43,"00"),CONCATENATE(INT(整月外場班表!AV43),"30"))</f>
        <v>00</v>
      </c>
      <c r="AW40" s="26" t="str">
        <f>IF(MOD(整月外場班表!AW43,1)=0,CONCATENATE(整月外場班表!AW43,"00"),CONCATENATE(INT(整月外場班表!AW43),"30"))</f>
        <v>00</v>
      </c>
      <c r="AX40" s="25" t="str">
        <f>IF(MOD(整月外場班表!AX43,1)=0,CONCATENATE(整月外場班表!AX43,"00"),CONCATENATE(INT(整月外場班表!AX43),"30"))</f>
        <v>00</v>
      </c>
      <c r="AY40" s="26" t="str">
        <f>IF(MOD(整月外場班表!AY43,1)=0,CONCATENATE(整月外場班表!AY43,"00"),CONCATENATE(INT(整月外場班表!AY43),"30"))</f>
        <v>00</v>
      </c>
      <c r="AZ40" s="25" t="str">
        <f>IF(MOD(整月外場班表!AZ43,1)=0,CONCATENATE(整月外場班表!AZ43,"00"),CONCATENATE(INT(整月外場班表!AZ43),"30"))</f>
        <v>00</v>
      </c>
      <c r="BA40" s="26" t="str">
        <f>IF(MOD(整月外場班表!BA43,1)=0,CONCATENATE(整月外場班表!BA43,"00"),CONCATENATE(INT(整月外場班表!BA43),"30"))</f>
        <v>00</v>
      </c>
      <c r="BB40" s="25" t="str">
        <f>IF(MOD(整月外場班表!BB43,1)=0,CONCATENATE(整月外場班表!BB43,"00"),CONCATENATE(INT(整月外場班表!BB43),"30"))</f>
        <v>00</v>
      </c>
      <c r="BC40" s="26" t="str">
        <f>IF(MOD(整月外場班表!BC43,1)=0,CONCATENATE(整月外場班表!BC43,"00"),CONCATENATE(INT(整月外場班表!BC43),"30"))</f>
        <v>00</v>
      </c>
      <c r="BD40" s="25" t="str">
        <f>IF(MOD(整月外場班表!BD43,1)=0,CONCATENATE(整月外場班表!BD43,"00"),CONCATENATE(INT(整月外場班表!BD43),"30"))</f>
        <v>00</v>
      </c>
      <c r="BE40" s="26" t="str">
        <f>IF(MOD(整月外場班表!BE43,1)=0,CONCATENATE(整月外場班表!BE43,"00"),CONCATENATE(INT(整月外場班表!BE43),"30"))</f>
        <v>00</v>
      </c>
      <c r="BF40" s="25" t="str">
        <f>IF(MOD(整月外場班表!BF43,1)=0,CONCATENATE(整月外場班表!BF43,"00"),CONCATENATE(INT(整月外場班表!BF43),"30"))</f>
        <v>00</v>
      </c>
      <c r="BG40" s="26" t="str">
        <f>IF(MOD(整月外場班表!BG43,1)=0,CONCATENATE(整月外場班表!BG43,"00"),CONCATENATE(INT(整月外場班表!BG43),"30"))</f>
        <v>00</v>
      </c>
      <c r="BH40" s="25" t="str">
        <f>IF(MOD(整月外場班表!BH43,1)=0,CONCATENATE(整月外場班表!BH43,"00"),CONCATENATE(INT(整月外場班表!BH43),"30"))</f>
        <v>00</v>
      </c>
      <c r="BI40" s="26" t="str">
        <f>IF(MOD(整月外場班表!BI43,1)=0,CONCATENATE(整月外場班表!BI43,"00"),CONCATENATE(INT(整月外場班表!BI43),"30"))</f>
        <v>00</v>
      </c>
      <c r="BJ40" s="25" t="str">
        <f>IF(MOD(整月外場班表!BJ43,1)=0,CONCATENATE(整月外場班表!BJ43,"00"),CONCATENATE(INT(整月外場班表!BJ43),"30"))</f>
        <v>00</v>
      </c>
      <c r="BK40" s="26" t="str">
        <f>IF(MOD(整月外場班表!BK43,1)=0,CONCATENATE(整月外場班表!BK43,"00"),CONCATENATE(INT(整月外場班表!BK43),"30"))</f>
        <v>00</v>
      </c>
      <c r="BL40" s="25" t="str">
        <f>IF(MOD(整月外場班表!BL43,1)=0,CONCATENATE(整月外場班表!BL43,"00"),CONCATENATE(INT(整月外場班表!BL43),"30"))</f>
        <v>00</v>
      </c>
      <c r="BM40" s="26" t="str">
        <f>IF(MOD(整月外場班表!BM43,1)=0,CONCATENATE(整月外場班表!BM43,"00"),CONCATENATE(INT(整月外場班表!BM43),"30"))</f>
        <v>00</v>
      </c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</row>
    <row r="41" spans="1:81" ht="40" customHeight="1" thickBot="1">
      <c r="A41" s="47"/>
      <c r="B41" s="84"/>
      <c r="C41" s="95"/>
      <c r="D41" s="104" t="str" cm="1">
        <f t="array" ref="D41">_xlfn.IFS(AND(D39="00",D40="00"),";H",AND(D39&lt;&gt;"00",D40&lt;&gt;"00"),CONCATENATE(D39,"-",E40,"(",E39,"-",D40,")"),AND(D39="00",D40&lt;&gt;"00"),CONCATENATE(D40,"-",E40),AND(D39&lt;&gt;"00",D40="00"),CONCATENATE(D39,"-",E39))</f>
        <v>900-1800(1300-1400)</v>
      </c>
      <c r="E41" s="105"/>
      <c r="F41" s="104" t="str" cm="1">
        <f t="array" ref="F41">_xlfn.IFS(AND(F39="00",F40="00"),";H",AND(F39&lt;&gt;"00",F40&lt;&gt;"00"),CONCATENATE(F39,"-",G40,"(",G39,"-",F40,")"),AND(F39="00",F40&lt;&gt;"00"),CONCATENATE(F40,"-",G40),AND(F39&lt;&gt;"00",F40="00"),CONCATENATE(F39,"-",G39))</f>
        <v>;H</v>
      </c>
      <c r="G41" s="105"/>
      <c r="H41" s="104" t="str" cm="1">
        <f t="array" ref="H41">_xlfn.IFS(AND(H39="00",H40="00"),";H",AND(H39&lt;&gt;"00",H40&lt;&gt;"00"),CONCATENATE(H39,"-",I40,"(",I39,"-",H40,")"),AND(H39="00",H40&lt;&gt;"00"),CONCATENATE(H40,"-",I40),AND(H39&lt;&gt;"00",H40="00"),CONCATENATE(H39,"-",I39))</f>
        <v>;H</v>
      </c>
      <c r="I41" s="105"/>
      <c r="J41" s="104" t="str" cm="1">
        <f t="array" ref="J41">_xlfn.IFS(AND(J39="00",J40="00"),";H",AND(J39&lt;&gt;"00",J40&lt;&gt;"00"),CONCATENATE(J39,"-",K40,"(",K39,"-",J40,")"),AND(J39="00",J40&lt;&gt;"00"),CONCATENATE(J40,"-",K40),AND(J39&lt;&gt;"00",J40="00"),CONCATENATE(J39,"-",K39))</f>
        <v>;H</v>
      </c>
      <c r="K41" s="105"/>
      <c r="L41" s="104" t="str" cm="1">
        <f t="array" ref="L41">_xlfn.IFS(AND(L39="00",L40="00"),";H",AND(L39&lt;&gt;"00",L40&lt;&gt;"00"),CONCATENATE(L39,"-",M40,"(",M39,"-",L40,")"),AND(L39="00",L40&lt;&gt;"00"),CONCATENATE(L40,"-",M40),AND(L39&lt;&gt;"00",L40="00"),CONCATENATE(L39,"-",M39))</f>
        <v>;H</v>
      </c>
      <c r="M41" s="105"/>
      <c r="N41" s="104" t="str" cm="1">
        <f t="array" ref="N41">_xlfn.IFS(AND(N39="00",N40="00"),";H",AND(N39&lt;&gt;"00",N40&lt;&gt;"00"),CONCATENATE(N39,"-",O40,"(",O39,"-",N40,")"),AND(N39="00",N40&lt;&gt;"00"),CONCATENATE(N40,"-",O40),AND(N39&lt;&gt;"00",N40="00"),CONCATENATE(N39,"-",O39))</f>
        <v>;H</v>
      </c>
      <c r="O41" s="105"/>
      <c r="P41" s="104" t="str" cm="1">
        <f t="array" ref="P41">_xlfn.IFS(AND(P39="00",P40="00"),";H",AND(P39&lt;&gt;"00",P40&lt;&gt;"00"),CONCATENATE(P39,"-",Q40,"(",Q39,"-",P40,")"),AND(P39="00",P40&lt;&gt;"00"),CONCATENATE(P40,"-",Q40),AND(P39&lt;&gt;"00",P40="00"),CONCATENATE(P39,"-",Q39))</f>
        <v>;H</v>
      </c>
      <c r="Q41" s="105"/>
      <c r="R41" s="104" t="str" cm="1">
        <f t="array" ref="R41">_xlfn.IFS(AND(R39="00",R40="00"),";H",AND(R39&lt;&gt;"00",R40&lt;&gt;"00"),CONCATENATE(R39,"-",S40,"(",S39,"-",R40,")"),AND(R39="00",R40&lt;&gt;"00"),CONCATENATE(R40,"-",S40),AND(R39&lt;&gt;"00",R40="00"),CONCATENATE(R39,"-",S39))</f>
        <v>;H</v>
      </c>
      <c r="S41" s="105"/>
      <c r="T41" s="104" t="str" cm="1">
        <f t="array" ref="T41">_xlfn.IFS(AND(T39="00",T40="00"),";H",AND(T39&lt;&gt;"00",T40&lt;&gt;"00"),CONCATENATE(T39,"-",U40,"(",U39,"-",T40,")"),AND(T39="00",T40&lt;&gt;"00"),CONCATENATE(T40,"-",U40),AND(T39&lt;&gt;"00",T40="00"),CONCATENATE(T39,"-",U39))</f>
        <v>;H</v>
      </c>
      <c r="U41" s="105"/>
      <c r="V41" s="104" t="str" cm="1">
        <f t="array" ref="V41">_xlfn.IFS(AND(V39="00",V40="00"),";H",AND(V39&lt;&gt;"00",V40&lt;&gt;"00"),CONCATENATE(V39,"-",W40,"(",W39,"-",V40,")"),AND(V39="00",V40&lt;&gt;"00"),CONCATENATE(V40,"-",W40),AND(V39&lt;&gt;"00",V40="00"),CONCATENATE(V39,"-",W39))</f>
        <v>;H</v>
      </c>
      <c r="W41" s="105"/>
      <c r="X41" s="104" t="str" cm="1">
        <f t="array" ref="X41">_xlfn.IFS(AND(X39="00",X40="00"),";H",AND(X39&lt;&gt;"00",X40&lt;&gt;"00"),CONCATENATE(X39,"-",Y40,"(",Y39,"-",X40,")"),AND(X39="00",X40&lt;&gt;"00"),CONCATENATE(X40,"-",Y40),AND(X39&lt;&gt;"00",X40="00"),CONCATENATE(X39,"-",Y39))</f>
        <v>;H</v>
      </c>
      <c r="Y41" s="105"/>
      <c r="Z41" s="104" t="str" cm="1">
        <f t="array" ref="Z41">_xlfn.IFS(AND(Z39="00",Z40="00"),";H",AND(Z39&lt;&gt;"00",Z40&lt;&gt;"00"),CONCATENATE(Z39,"-",AA40,"(",AA39,"-",Z40,")"),AND(Z39="00",Z40&lt;&gt;"00"),CONCATENATE(Z40,"-",AA40),AND(Z39&lt;&gt;"00",Z40="00"),CONCATENATE(Z39,"-",AA39))</f>
        <v>;H</v>
      </c>
      <c r="AA41" s="105"/>
      <c r="AB41" s="104" t="str" cm="1">
        <f t="array" ref="AB41">_xlfn.IFS(AND(AB39="00",AB40="00"),";H",AND(AB39&lt;&gt;"00",AB40&lt;&gt;"00"),CONCATENATE(AB39,"-",AC40,"(",AC39,"-",AB40,")"),AND(AB39="00",AB40&lt;&gt;"00"),CONCATENATE(AB40,"-",AC40),AND(AB39&lt;&gt;"00",AB40="00"),CONCATENATE(AB39,"-",AC39))</f>
        <v>;H</v>
      </c>
      <c r="AC41" s="105"/>
      <c r="AD41" s="104" t="str" cm="1">
        <f t="array" ref="AD41">_xlfn.IFS(AND(AD39="00",AD40="00"),";H",AND(AD39&lt;&gt;"00",AD40&lt;&gt;"00"),CONCATENATE(AD39,"-",AE40,"(",AE39,"-",AD40,")"),AND(AD39="00",AD40&lt;&gt;"00"),CONCATENATE(AD40,"-",AE40),AND(AD39&lt;&gt;"00",AD40="00"),CONCATENATE(AD39,"-",AE39))</f>
        <v>;H</v>
      </c>
      <c r="AE41" s="105"/>
      <c r="AF41" s="104" t="str" cm="1">
        <f t="array" ref="AF41">_xlfn.IFS(AND(AF39="00",AF40="00"),";H",AND(AF39&lt;&gt;"00",AF40&lt;&gt;"00"),CONCATENATE(AF39,"-",AG40,"(",AG39,"-",AF40,")"),AND(AF39="00",AF40&lt;&gt;"00"),CONCATENATE(AF40,"-",AG40),AND(AF39&lt;&gt;"00",AF40="00"),CONCATENATE(AF39,"-",AG39))</f>
        <v>;H</v>
      </c>
      <c r="AG41" s="105"/>
      <c r="AH41" s="104" t="str" cm="1">
        <f t="array" ref="AH41">_xlfn.IFS(AND(AH39="00",AH40="00"),";H",AND(AH39&lt;&gt;"00",AH40&lt;&gt;"00"),CONCATENATE(AH39,"-",AI40,"(",AI39,"-",AH40,")"),AND(AH39="00",AH40&lt;&gt;"00"),CONCATENATE(AH40,"-",AI40),AND(AH39&lt;&gt;"00",AH40="00"),CONCATENATE(AH39,"-",AI39))</f>
        <v>;H</v>
      </c>
      <c r="AI41" s="105"/>
      <c r="AJ41" s="104" t="str" cm="1">
        <f t="array" ref="AJ41">_xlfn.IFS(AND(AJ39="00",AJ40="00"),";H",AND(AJ39&lt;&gt;"00",AJ40&lt;&gt;"00"),CONCATENATE(AJ39,"-",AK40,"(",AK39,"-",AJ40,")"),AND(AJ39="00",AJ40&lt;&gt;"00"),CONCATENATE(AJ40,"-",AK40),AND(AJ39&lt;&gt;"00",AJ40="00"),CONCATENATE(AJ39,"-",AK39))</f>
        <v>;H</v>
      </c>
      <c r="AK41" s="105"/>
      <c r="AL41" s="104" t="str" cm="1">
        <f t="array" ref="AL41">_xlfn.IFS(AND(AL39="00",AL40="00"),";H",AND(AL39&lt;&gt;"00",AL40&lt;&gt;"00"),CONCATENATE(AL39,"-",AM40,"(",AM39,"-",AL40,")"),AND(AL39="00",AL40&lt;&gt;"00"),CONCATENATE(AL40,"-",AM40),AND(AL39&lt;&gt;"00",AL40="00"),CONCATENATE(AL39,"-",AM39))</f>
        <v>;H</v>
      </c>
      <c r="AM41" s="105"/>
      <c r="AN41" s="104" t="str" cm="1">
        <f t="array" ref="AN41">_xlfn.IFS(AND(AN39="00",AN40="00"),";H",AND(AN39&lt;&gt;"00",AN40&lt;&gt;"00"),CONCATENATE(AN39,"-",AO40,"(",AO39,"-",AN40,")"),AND(AN39="00",AN40&lt;&gt;"00"),CONCATENATE(AN40,"-",AO40),AND(AN39&lt;&gt;"00",AN40="00"),CONCATENATE(AN39,"-",AO39))</f>
        <v>;H</v>
      </c>
      <c r="AO41" s="105"/>
      <c r="AP41" s="104" t="str" cm="1">
        <f t="array" ref="AP41">_xlfn.IFS(AND(AP39="00",AP40="00"),";H",AND(AP39&lt;&gt;"00",AP40&lt;&gt;"00"),CONCATENATE(AP39,"-",AQ40,"(",AQ39,"-",AP40,")"),AND(AP39="00",AP40&lt;&gt;"00"),CONCATENATE(AP40,"-",AQ40),AND(AP39&lt;&gt;"00",AP40="00"),CONCATENATE(AP39,"-",AQ39))</f>
        <v>;H</v>
      </c>
      <c r="AQ41" s="105"/>
      <c r="AR41" s="104" t="str" cm="1">
        <f t="array" ref="AR41">_xlfn.IFS(AND(AR39="00",AR40="00"),";H",AND(AR39&lt;&gt;"00",AR40&lt;&gt;"00"),CONCATENATE(AR39,"-",AS40,"(",AS39,"-",AR40,")"),AND(AR39="00",AR40&lt;&gt;"00"),CONCATENATE(AR40,"-",AS40),AND(AR39&lt;&gt;"00",AR40="00"),CONCATENATE(AR39,"-",AS39))</f>
        <v>;H</v>
      </c>
      <c r="AS41" s="105"/>
      <c r="AT41" s="104" t="str" cm="1">
        <f t="array" ref="AT41">_xlfn.IFS(AND(AT39="00",AT40="00"),";H",AND(AT39&lt;&gt;"00",AT40&lt;&gt;"00"),CONCATENATE(AT39,"-",AU40,"(",AU39,"-",AT40,")"),AND(AT39="00",AT40&lt;&gt;"00"),CONCATENATE(AT40,"-",AU40),AND(AT39&lt;&gt;"00",AT40="00"),CONCATENATE(AT39,"-",AU39))</f>
        <v>;H</v>
      </c>
      <c r="AU41" s="105"/>
      <c r="AV41" s="104" t="str" cm="1">
        <f t="array" ref="AV41">_xlfn.IFS(AND(AV39="00",AV40="00"),";H",AND(AV39&lt;&gt;"00",AV40&lt;&gt;"00"),CONCATENATE(AV39,"-",AW40,"(",AW39,"-",AV40,")"),AND(AV39="00",AV40&lt;&gt;"00"),CONCATENATE(AV40,"-",AW40),AND(AV39&lt;&gt;"00",AV40="00"),CONCATENATE(AV39,"-",AW39))</f>
        <v>;H</v>
      </c>
      <c r="AW41" s="105"/>
      <c r="AX41" s="104" t="str" cm="1">
        <f t="array" ref="AX41">_xlfn.IFS(AND(AX39="00",AX40="00"),";H",AND(AX39&lt;&gt;"00",AX40&lt;&gt;"00"),CONCATENATE(AX39,"-",AY40,"(",AY39,"-",AX40,")"),AND(AX39="00",AX40&lt;&gt;"00"),CONCATENATE(AX40,"-",AY40),AND(AX39&lt;&gt;"00",AX40="00"),CONCATENATE(AX39,"-",AY39))</f>
        <v>;H</v>
      </c>
      <c r="AY41" s="105"/>
      <c r="AZ41" s="104" t="str" cm="1">
        <f t="array" ref="AZ41">_xlfn.IFS(AND(AZ39="00",AZ40="00"),";H",AND(AZ39&lt;&gt;"00",AZ40&lt;&gt;"00"),CONCATENATE(AZ39,"-",BA40,"(",BA39,"-",AZ40,")"),AND(AZ39="00",AZ40&lt;&gt;"00"),CONCATENATE(AZ40,"-",BA40),AND(AZ39&lt;&gt;"00",AZ40="00"),CONCATENATE(AZ39,"-",BA39))</f>
        <v>;H</v>
      </c>
      <c r="BA41" s="105"/>
      <c r="BB41" s="104" t="str" cm="1">
        <f t="array" ref="BB41">_xlfn.IFS(AND(BB39="00",BB40="00"),";H",AND(BB39&lt;&gt;"00",BB40&lt;&gt;"00"),CONCATENATE(BB39,"-",BC40,"(",BC39,"-",BB40,")"),AND(BB39="00",BB40&lt;&gt;"00"),CONCATENATE(BB40,"-",BC40),AND(BB39&lt;&gt;"00",BB40="00"),CONCATENATE(BB39,"-",BC39))</f>
        <v>;H</v>
      </c>
      <c r="BC41" s="105"/>
      <c r="BD41" s="104" t="str" cm="1">
        <f t="array" ref="BD41">_xlfn.IFS(AND(BD39="00",BD40="00"),";H",AND(BD39&lt;&gt;"00",BD40&lt;&gt;"00"),CONCATENATE(BD39,"-",BE40,"(",BE39,"-",BD40,")"),AND(BD39="00",BD40&lt;&gt;"00"),CONCATENATE(BD40,"-",BE40),AND(BD39&lt;&gt;"00",BD40="00"),CONCATENATE(BD39,"-",BE39))</f>
        <v>;H</v>
      </c>
      <c r="BE41" s="105"/>
      <c r="BF41" s="104" t="str" cm="1">
        <f t="array" ref="BF41">_xlfn.IFS(AND(BF39="00",BF40="00"),";H",AND(BF39&lt;&gt;"00",BF40&lt;&gt;"00"),CONCATENATE(BF39,"-",BG40,"(",BG39,"-",BF40,")"),AND(BF39="00",BF40&lt;&gt;"00"),CONCATENATE(BF40,"-",BG40),AND(BF39&lt;&gt;"00",BF40="00"),CONCATENATE(BF39,"-",BG39))</f>
        <v>;H</v>
      </c>
      <c r="BG41" s="105"/>
      <c r="BH41" s="104" t="str" cm="1">
        <f t="array" ref="BH41">_xlfn.IFS(AND(BH39="00",BH40="00"),";H",AND(BH39&lt;&gt;"00",BH40&lt;&gt;"00"),CONCATENATE(BH39,"-",BI40,"(",BI39,"-",BH40,")"),AND(BH39="00",BH40&lt;&gt;"00"),CONCATENATE(BH40,"-",BI40),AND(BH39&lt;&gt;"00",BH40="00"),CONCATENATE(BH39,"-",BI39))</f>
        <v>;H</v>
      </c>
      <c r="BI41" s="105"/>
      <c r="BJ41" s="104" t="str" cm="1">
        <f t="array" ref="BJ41">_xlfn.IFS(AND(BJ39="00",BJ40="00"),";H",AND(BJ39&lt;&gt;"00",BJ40&lt;&gt;"00"),CONCATENATE(BJ39,"-",BK40,"(",BK39,"-",BJ40,")"),AND(BJ39="00",BJ40&lt;&gt;"00"),CONCATENATE(BJ40,"-",BK40),AND(BJ39&lt;&gt;"00",BJ40="00"),CONCATENATE(BJ39,"-",BK39))</f>
        <v>;H</v>
      </c>
      <c r="BK41" s="105"/>
      <c r="BL41" s="104" t="str" cm="1">
        <f t="array" ref="BL41">_xlfn.IFS(AND(BL39="00",BL40="00"),";H",AND(BL39&lt;&gt;"00",BL40&lt;&gt;"00"),CONCATENATE(BL39,"-",BM40,"(",BM39,"-",BL40,")"),AND(BL39="00",BL40&lt;&gt;"00"),CONCATENATE(BL40,"-",BM40),AND(BL39&lt;&gt;"00",BL40="00"),CONCATENATE(BL39,"-",BM39))</f>
        <v>;H</v>
      </c>
      <c r="BM41" s="105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81" ht="15" thickBo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81" ht="15" thickBo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81" ht="15" thickBo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81" ht="15" thickBo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81" ht="15" thickBo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</row>
    <row r="47" spans="1:81" ht="15" thickBo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81" ht="15" thickBo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 ht="15" thickBo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 ht="15" thickBo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 ht="15" thickBo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 ht="15" thickBo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 ht="15" thickBo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 ht="15" thickBo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 ht="15" thickBo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 ht="15" thickBo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</row>
    <row r="57" spans="1:81" ht="15" thickBo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 ht="15" thickBo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 ht="15" thickBo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 ht="15" thickBo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 ht="15" thickBo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 ht="15" thickBo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 ht="15" thickBo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</row>
    <row r="64" spans="1:81" ht="15" thickBo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 ht="15" thickBo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 ht="15" thickBo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 ht="15" thickBo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 ht="15" thickBo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 ht="15" thickBo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 ht="15" thickBo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 ht="15" thickBo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</row>
    <row r="72" spans="1:81" ht="15" thickBo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 ht="15" thickBo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 ht="15" thickBo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 ht="15" thickBo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 ht="15" thickBo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</row>
    <row r="77" spans="1:81" ht="15" thickBo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 ht="15" thickBo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 ht="15" thickBo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 ht="15" thickBo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 ht="15" thickBo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 ht="15" thickBo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 ht="15" thickBo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</row>
    <row r="84" spans="1:81" ht="15" thickBo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 ht="15" thickBo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</row>
    <row r="86" spans="1:81" ht="15" thickBo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 ht="15" thickBo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 ht="15" thickBo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 ht="15" thickBo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 ht="15" thickBo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 ht="15" thickBo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 ht="15" thickBo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 ht="15" thickBo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 ht="15" thickBo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 ht="15" thickBo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 ht="15" thickBo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:81" ht="15" thickBo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:81" ht="15" thickBo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:81" ht="15" thickBo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:81" ht="15" thickBo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  <row r="101" spans="1:81" ht="15" thickBo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</row>
    <row r="102" spans="1:81" ht="15" thickBo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</row>
    <row r="103" spans="1:81" ht="15" thickBo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</row>
    <row r="104" spans="1:81" ht="15" thickBo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</row>
    <row r="105" spans="1:81" ht="15" thickBo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</row>
    <row r="106" spans="1:81" ht="15" thickBo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</row>
    <row r="107" spans="1:81" ht="15" thickBo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</row>
    <row r="108" spans="1:81" ht="15" thickBo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</row>
    <row r="109" spans="1:81" ht="15" thickBo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</row>
    <row r="110" spans="1:81" ht="15" thickBo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</row>
    <row r="111" spans="1:81" ht="15" thickBo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</row>
    <row r="112" spans="1:81" ht="15" thickBo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</row>
    <row r="113" spans="1:81" ht="15" thickBo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</row>
    <row r="114" spans="1:81" ht="15" thickBo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</row>
    <row r="115" spans="1:81" ht="15" thickBo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</row>
    <row r="116" spans="1:81" ht="15" thickBo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</row>
    <row r="117" spans="1:81" ht="15" thickBo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</row>
    <row r="118" spans="1:81" ht="15" thickBo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</row>
    <row r="119" spans="1:81" ht="15" thickBo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</row>
    <row r="120" spans="1:81" ht="15" thickBo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</row>
    <row r="121" spans="1:81" ht="15" thickBo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</row>
    <row r="122" spans="1:81" ht="15" thickBo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</row>
    <row r="123" spans="1:81" ht="15" thickBo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</row>
    <row r="124" spans="1:81" ht="15" thickBo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</row>
    <row r="125" spans="1:81" ht="15" thickBo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</row>
    <row r="126" spans="1:81" ht="15" thickBo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</row>
    <row r="127" spans="1:81" ht="15" thickBo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</row>
    <row r="128" spans="1:81" ht="15" thickBo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</row>
    <row r="129" spans="1:81" ht="15" thickBo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</row>
    <row r="130" spans="1:81" ht="15" thickBo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</row>
    <row r="131" spans="1:81" ht="15" thickBo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</row>
    <row r="132" spans="1:81" ht="15" thickBo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</row>
    <row r="133" spans="1:81" ht="15" thickBo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</row>
    <row r="134" spans="1:81" ht="15" thickBo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</row>
    <row r="135" spans="1:81" ht="15" thickBo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</row>
    <row r="136" spans="1:81" ht="15" thickBo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</row>
    <row r="137" spans="1:81" ht="15" thickBo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</row>
    <row r="138" spans="1:81" ht="15" thickBo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</row>
    <row r="139" spans="1:81" ht="15" thickBo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</row>
    <row r="140" spans="1:81" ht="15" thickBo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</row>
    <row r="141" spans="1:81" ht="15" thickBo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</row>
    <row r="142" spans="1:81" ht="15" thickBo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</row>
    <row r="143" spans="1:81" ht="15" thickBo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</row>
    <row r="144" spans="1:81" ht="15" thickBo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</row>
    <row r="145" spans="1:81" ht="15" thickBo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</row>
    <row r="146" spans="1:81" ht="15" thickBo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</row>
    <row r="147" spans="1:81" ht="15" thickBo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</row>
    <row r="148" spans="1:81" ht="15" thickBo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</row>
    <row r="149" spans="1:81" ht="15" thickBo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</row>
    <row r="150" spans="1:81" ht="15" thickBo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</row>
    <row r="151" spans="1:81" ht="15" thickBo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</row>
    <row r="152" spans="1:81" ht="15" thickBo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</row>
    <row r="153" spans="1:81" ht="15" thickBo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</row>
    <row r="154" spans="1:81" ht="15" thickBo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</row>
    <row r="155" spans="1:81" ht="15" thickBo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</row>
    <row r="156" spans="1:81" ht="15" thickBo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</row>
    <row r="157" spans="1:81" ht="15" thickBo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</row>
    <row r="158" spans="1:81" ht="15" thickBo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</row>
    <row r="159" spans="1:81" ht="15" thickBo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</row>
    <row r="160" spans="1:81" ht="15" thickBo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</row>
    <row r="161" spans="1:81" ht="15" thickBo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</row>
    <row r="162" spans="1:81" ht="15" thickBo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</row>
    <row r="163" spans="1:81" ht="15" thickBo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</row>
    <row r="164" spans="1:81" ht="15" thickBo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</row>
    <row r="165" spans="1:81" ht="15" thickBo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</row>
    <row r="166" spans="1:81" ht="15" thickBo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</row>
    <row r="167" spans="1:81" ht="15" thickBo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</row>
    <row r="168" spans="1:81" ht="15" thickBo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</row>
    <row r="169" spans="1:81" ht="15" thickBo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</row>
    <row r="170" spans="1:81" ht="15" thickBo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</row>
    <row r="171" spans="1:81" ht="15" thickBo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</row>
    <row r="172" spans="1:81" ht="15" thickBo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</row>
    <row r="173" spans="1:81" ht="15" thickBo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</row>
    <row r="174" spans="1:81" ht="15" thickBo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</row>
    <row r="175" spans="1:81" ht="15" thickBo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</row>
    <row r="176" spans="1:81" ht="15" thickBo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</row>
    <row r="177" spans="1:81" ht="15" thickBo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</row>
    <row r="178" spans="1:81" ht="15" thickBo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</row>
    <row r="179" spans="1:81" ht="15" thickBo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</row>
    <row r="180" spans="1:81" ht="15" thickBo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</row>
    <row r="181" spans="1:81" ht="15" thickBo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</row>
    <row r="182" spans="1:81" ht="15" thickBo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</row>
    <row r="183" spans="1:81" ht="15" thickBo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</row>
    <row r="184" spans="1:81" ht="15" thickBo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</row>
    <row r="185" spans="1:81" ht="15" thickBo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</row>
    <row r="186" spans="1:81" ht="15" thickBo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</row>
    <row r="187" spans="1:81" ht="15" thickBo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</row>
    <row r="188" spans="1:81" ht="15" thickBo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</row>
    <row r="189" spans="1:81" ht="15" thickBo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</row>
    <row r="190" spans="1:81" ht="15" thickBo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</row>
    <row r="191" spans="1:81" ht="15" thickBo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</row>
    <row r="192" spans="1:81" ht="15" thickBo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</row>
    <row r="193" spans="1:81" ht="15" thickBo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</row>
    <row r="194" spans="1:81" ht="15" thickBo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</row>
    <row r="195" spans="1:81" ht="15" thickBo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</row>
    <row r="196" spans="1:81" ht="15" thickBo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</row>
    <row r="197" spans="1:81" ht="15" thickBo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</row>
    <row r="198" spans="1:81" ht="15" thickBo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</row>
    <row r="199" spans="1:81" ht="15" thickBo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</row>
    <row r="200" spans="1:81" ht="15" thickBo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</row>
    <row r="201" spans="1:81" ht="15" thickBo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</row>
    <row r="202" spans="1:81" ht="15" thickBo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</row>
    <row r="203" spans="1:81" ht="15" thickBo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</row>
    <row r="204" spans="1:81" ht="15" thickBo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</row>
    <row r="205" spans="1:81" ht="15" thickBo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</row>
    <row r="206" spans="1:81" ht="15" thickBo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</row>
    <row r="207" spans="1:81" ht="15" thickBo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</row>
    <row r="208" spans="1:81" ht="15" thickBo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</row>
    <row r="209" spans="1:81" ht="15" thickBo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</row>
    <row r="210" spans="1:81" ht="15" thickBo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</row>
    <row r="211" spans="1:81" ht="15" thickBo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</row>
    <row r="212" spans="1:81" ht="15" thickBo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</row>
    <row r="213" spans="1:81" ht="15" thickBo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</row>
    <row r="214" spans="1:81" ht="15" thickBo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</row>
    <row r="215" spans="1:81" ht="15" thickBo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</row>
    <row r="216" spans="1:81" ht="15" thickBo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</row>
    <row r="217" spans="1:81" ht="15" thickBo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</row>
    <row r="218" spans="1:81" ht="15" thickBo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</row>
    <row r="219" spans="1:81" ht="15" thickBo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</row>
    <row r="220" spans="1:81" ht="15" thickBo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</row>
    <row r="221" spans="1:81" ht="15" thickBo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</row>
    <row r="222" spans="1:81" ht="15" thickBo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</row>
    <row r="223" spans="1:81" ht="15" thickBo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</row>
    <row r="224" spans="1:81" ht="15" thickBo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</row>
    <row r="225" spans="1:81" ht="15" thickBo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</row>
    <row r="226" spans="1:81" ht="15" thickBo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</row>
    <row r="227" spans="1:81" ht="15" thickBo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</row>
    <row r="228" spans="1:81" ht="15" thickBo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</row>
    <row r="229" spans="1:81" ht="15" thickBo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</row>
    <row r="230" spans="1:81" ht="15" thickBo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</row>
    <row r="231" spans="1:81" ht="15" thickBo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</row>
    <row r="232" spans="1:81" ht="15" thickBo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</row>
    <row r="233" spans="1:81" ht="15" thickBo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</row>
    <row r="234" spans="1:81" ht="15" thickBo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</row>
    <row r="235" spans="1:81" ht="15" thickBo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</row>
    <row r="236" spans="1:81" ht="15" thickBo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</row>
    <row r="237" spans="1:81" ht="15" thickBo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</row>
    <row r="238" spans="1:81" ht="15" thickBo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</row>
    <row r="239" spans="1:81" ht="15" thickBo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</row>
    <row r="240" spans="1:81" ht="15" thickBo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</row>
    <row r="241" spans="1:81" ht="15" thickBo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</row>
    <row r="242" spans="1:81" ht="15" thickBo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</row>
    <row r="243" spans="1:81" ht="15" thickBo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</row>
    <row r="244" spans="1:81" ht="15" thickBo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</row>
    <row r="245" spans="1:81" ht="15" thickBo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</row>
    <row r="246" spans="1:81" ht="15" thickBo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</row>
    <row r="247" spans="1:81" ht="15" thickBo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</row>
    <row r="248" spans="1:81" ht="15" thickBo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</row>
    <row r="249" spans="1:81" ht="15" thickBo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</row>
    <row r="250" spans="1:81" ht="15" thickBo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</row>
    <row r="251" spans="1:81" ht="15" thickBo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</row>
    <row r="252" spans="1:81" ht="15" thickBo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</row>
    <row r="253" spans="1:81" ht="15" thickBo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</row>
    <row r="254" spans="1:81" ht="15" thickBo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</row>
    <row r="255" spans="1:81" ht="15" thickBo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</row>
    <row r="256" spans="1:81" ht="15" thickBo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</row>
    <row r="257" spans="1:81" ht="15" thickBo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</row>
    <row r="258" spans="1:81" ht="15" thickBo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</row>
    <row r="259" spans="1:81" ht="15" thickBo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</row>
    <row r="260" spans="1:81" ht="15" thickBo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</row>
    <row r="261" spans="1:81" ht="15" thickBo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</row>
    <row r="262" spans="1:81" ht="15" thickBo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</row>
    <row r="263" spans="1:81" ht="15" thickBo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</row>
    <row r="264" spans="1:81" ht="15" thickBo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</row>
    <row r="265" spans="1:81" ht="15" thickBo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</row>
    <row r="266" spans="1:81" ht="15" thickBo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</row>
    <row r="267" spans="1:81" ht="15" thickBo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</row>
    <row r="268" spans="1:81" ht="15" thickBo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</row>
    <row r="269" spans="1:81" ht="15" thickBo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</row>
    <row r="270" spans="1:81" ht="15" thickBo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</row>
    <row r="271" spans="1:81" ht="15" thickBo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</row>
    <row r="272" spans="1:81" ht="15" thickBo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</row>
    <row r="273" spans="1:81" ht="15" thickBo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</row>
    <row r="274" spans="1:81" ht="15" thickBo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</row>
    <row r="275" spans="1:81" ht="15" thickBo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</row>
    <row r="276" spans="1:81" ht="15" thickBo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</row>
    <row r="277" spans="1:81" ht="15" thickBo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</row>
    <row r="278" spans="1:81" ht="15" thickBo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</row>
    <row r="279" spans="1:81" ht="15" thickBo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</row>
    <row r="280" spans="1:81" ht="15" thickBo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</row>
    <row r="281" spans="1:81" ht="15" thickBo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</row>
    <row r="282" spans="1:81" ht="15" thickBo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</row>
    <row r="283" spans="1:81" ht="15" thickBo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</row>
    <row r="284" spans="1:81" ht="15" thickBo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</row>
    <row r="285" spans="1:81" ht="15" thickBo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</row>
    <row r="286" spans="1:81" ht="15" thickBo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</row>
    <row r="287" spans="1:81" ht="15" thickBo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</row>
    <row r="288" spans="1:81" ht="15" thickBo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</row>
    <row r="289" spans="1:81" ht="15" thickBo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</row>
    <row r="290" spans="1:81" ht="15" thickBo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</row>
    <row r="291" spans="1:81" ht="15" thickBo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</row>
    <row r="292" spans="1:81" ht="15" thickBo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</row>
    <row r="293" spans="1:81" ht="15" thickBo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</row>
    <row r="294" spans="1:81" ht="15" thickBo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</row>
    <row r="295" spans="1:81" ht="15" thickBo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</row>
    <row r="296" spans="1:81" ht="15" thickBo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</row>
    <row r="297" spans="1:81" ht="15" thickBo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</row>
    <row r="298" spans="1:81" ht="15" thickBo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</row>
    <row r="299" spans="1:81" ht="15" thickBo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</row>
    <row r="300" spans="1:81" ht="15" thickBo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</row>
    <row r="301" spans="1:81" ht="15" thickBo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</row>
    <row r="302" spans="1:81" ht="15" thickBo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</row>
    <row r="303" spans="1:81" ht="15" thickBo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</row>
    <row r="304" spans="1:81" ht="15" thickBo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</row>
    <row r="305" spans="1:81" ht="15" thickBo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</row>
    <row r="306" spans="1:81" ht="15" thickBo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</row>
    <row r="307" spans="1:81" ht="15" thickBo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</row>
    <row r="308" spans="1:81" ht="15" thickBo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</row>
    <row r="309" spans="1:81" ht="15" thickBo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</row>
    <row r="310" spans="1:81" ht="15" thickBo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</row>
    <row r="311" spans="1:81" ht="15" thickBo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</row>
    <row r="312" spans="1:81" ht="15" thickBo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</row>
    <row r="313" spans="1:81" ht="15" thickBo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</row>
    <row r="314" spans="1:81" ht="15" thickBo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</row>
    <row r="315" spans="1:81" ht="15" thickBo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</row>
    <row r="316" spans="1:81" ht="15" thickBo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</row>
    <row r="317" spans="1:81" ht="15" thickBo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</row>
    <row r="318" spans="1:81" ht="15" thickBo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</row>
    <row r="319" spans="1:81" ht="15" thickBo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</row>
    <row r="320" spans="1:81" ht="15" thickBo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</row>
    <row r="321" spans="1:81" ht="15" thickBo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</row>
    <row r="322" spans="1:81" ht="15" thickBo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</row>
    <row r="323" spans="1:81" ht="15" thickBo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</row>
    <row r="324" spans="1:81" ht="15" thickBo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</row>
    <row r="325" spans="1:81" ht="15" thickBo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</row>
    <row r="326" spans="1:81" ht="15" thickBo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</row>
    <row r="327" spans="1:81" ht="15" thickBo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</row>
    <row r="328" spans="1:81" ht="15" thickBo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</row>
    <row r="329" spans="1:81" ht="15" thickBo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</row>
    <row r="330" spans="1:81" ht="15" thickBo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</row>
    <row r="331" spans="1:81" ht="15" thickBo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</row>
    <row r="332" spans="1:81" ht="15" thickBo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</row>
    <row r="333" spans="1:81" ht="15" thickBo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</row>
    <row r="334" spans="1:81" ht="15" thickBo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</row>
    <row r="335" spans="1:81" ht="15" thickBo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</row>
    <row r="336" spans="1:81" ht="15" thickBo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</row>
    <row r="337" spans="1:81" ht="15" thickBo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</row>
    <row r="338" spans="1:81" ht="15" thickBo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</row>
    <row r="339" spans="1:81" ht="15" thickBo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</row>
    <row r="340" spans="1:81" ht="15" thickBo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</row>
    <row r="341" spans="1:81" ht="15" thickBo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</row>
    <row r="342" spans="1:81" ht="15" thickBo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</row>
    <row r="343" spans="1:81" ht="15" thickBo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</row>
    <row r="344" spans="1:81" ht="15" thickBo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</row>
    <row r="345" spans="1:81" ht="15" thickBo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</row>
    <row r="346" spans="1:81" ht="15" thickBo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</row>
    <row r="347" spans="1:81" ht="15" thickBo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</row>
    <row r="348" spans="1:81" ht="15" thickBo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</row>
    <row r="349" spans="1:81" ht="15" thickBo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</row>
    <row r="350" spans="1:81" ht="15" thickBo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</row>
    <row r="351" spans="1:81" ht="15" thickBo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</row>
    <row r="352" spans="1:81" ht="15" thickBo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</row>
    <row r="353" spans="1:81" ht="15" thickBo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</row>
    <row r="354" spans="1:81" ht="15" thickBo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</row>
    <row r="355" spans="1:81" ht="15" thickBo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</row>
    <row r="356" spans="1:81" ht="15" thickBo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</row>
    <row r="357" spans="1:81" ht="15" thickBo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</row>
    <row r="358" spans="1:81" ht="15" thickBo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</row>
    <row r="359" spans="1:81" ht="15" thickBo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</row>
    <row r="360" spans="1:81" ht="15" thickBo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</row>
    <row r="361" spans="1:81" ht="15" thickBo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</row>
    <row r="362" spans="1:81" ht="15" thickBo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</row>
    <row r="363" spans="1:81" ht="15" thickBo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</row>
    <row r="364" spans="1:81" ht="15" thickBo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</row>
    <row r="365" spans="1:81" ht="15" thickBo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</row>
    <row r="366" spans="1:81" ht="15" thickBo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</row>
    <row r="367" spans="1:81" ht="15" thickBo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</row>
    <row r="368" spans="1:81" ht="15" thickBo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</row>
    <row r="369" spans="1:81" ht="15" thickBo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</row>
    <row r="370" spans="1:81" ht="15" thickBo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</row>
    <row r="371" spans="1:81" ht="15" thickBo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</row>
    <row r="372" spans="1:81" ht="15" thickBo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</row>
    <row r="373" spans="1:81" ht="15" thickBo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</row>
    <row r="374" spans="1:81" ht="15" thickBo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</row>
    <row r="375" spans="1:81" ht="15" thickBo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</row>
    <row r="376" spans="1:81" ht="15" thickBo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</row>
    <row r="377" spans="1:81" ht="15" thickBo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</row>
    <row r="378" spans="1:81" ht="15" thickBo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</row>
    <row r="379" spans="1:81" ht="15" thickBo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</row>
    <row r="380" spans="1:81" ht="15" thickBo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</row>
    <row r="381" spans="1:81" ht="15" thickBo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</row>
    <row r="382" spans="1:81" ht="15" thickBo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</row>
    <row r="383" spans="1:81" ht="15" thickBo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</row>
    <row r="384" spans="1:81" ht="15" thickBo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</row>
    <row r="385" spans="1:81" ht="15" thickBo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</row>
    <row r="386" spans="1:81" ht="15" thickBo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</row>
    <row r="387" spans="1:81" ht="15" thickBo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</row>
    <row r="388" spans="1:81" ht="15" thickBo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</row>
    <row r="389" spans="1:81" ht="15" thickBo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</row>
    <row r="390" spans="1:81" ht="15" thickBo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</row>
    <row r="391" spans="1:81" ht="15" thickBo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</row>
    <row r="392" spans="1:81" ht="15" thickBo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</row>
    <row r="393" spans="1:81" ht="15" thickBo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</row>
    <row r="394" spans="1:81" ht="15" thickBo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</row>
    <row r="395" spans="1:81" ht="15" thickBo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</row>
    <row r="396" spans="1:81" ht="15" thickBo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</row>
    <row r="397" spans="1:81" ht="15" thickBo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</row>
    <row r="398" spans="1:81" ht="15" thickBo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</row>
    <row r="399" spans="1:81" ht="15" thickBo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</row>
    <row r="400" spans="1:81" ht="15" thickBo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</row>
    <row r="401" spans="1:81" ht="15" thickBo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</row>
    <row r="402" spans="1:81" ht="15" thickBo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</row>
    <row r="403" spans="1:81" ht="15" thickBo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</row>
    <row r="404" spans="1:81" ht="15" thickBo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</row>
    <row r="405" spans="1:81" ht="15" thickBo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</row>
    <row r="406" spans="1:81" ht="15" thickBo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</row>
    <row r="407" spans="1:81" ht="15" thickBo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</row>
    <row r="408" spans="1:81" ht="15" thickBo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</row>
    <row r="409" spans="1:81" ht="15" thickBo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</row>
    <row r="410" spans="1:81" ht="15" thickBo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</row>
    <row r="411" spans="1:81" ht="15" thickBo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</row>
    <row r="412" spans="1:81" ht="15" thickBo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</row>
    <row r="413" spans="1:81" ht="15" thickBo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</row>
    <row r="414" spans="1:81" ht="15" thickBo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</row>
    <row r="415" spans="1:81" ht="15" thickBo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</row>
    <row r="416" spans="1:81" ht="15" thickBo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</row>
    <row r="417" spans="1:81" ht="15" thickBo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</row>
    <row r="418" spans="1:81" ht="15" thickBo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</row>
    <row r="419" spans="1:81" ht="15" thickBo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</row>
    <row r="420" spans="1:81" ht="15" thickBo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</row>
    <row r="421" spans="1:81" ht="15" thickBo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</row>
    <row r="422" spans="1:81" ht="15" thickBo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</row>
    <row r="423" spans="1:81" ht="15" thickBo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</row>
    <row r="424" spans="1:81" ht="15" thickBo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</row>
    <row r="425" spans="1:81" ht="15" thickBo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</row>
    <row r="426" spans="1:81" ht="15" thickBo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</row>
    <row r="427" spans="1:81" ht="15" thickBo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</row>
    <row r="428" spans="1:81" ht="15" thickBo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</row>
    <row r="429" spans="1:81" ht="15" thickBo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</row>
    <row r="430" spans="1:81" ht="15" thickBo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</row>
    <row r="431" spans="1:81" ht="15" thickBo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</row>
    <row r="432" spans="1:81" ht="15" thickBo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</row>
    <row r="433" spans="1:81" ht="15" thickBo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</row>
    <row r="434" spans="1:81" ht="15" thickBo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</row>
    <row r="435" spans="1:81" ht="15" thickBo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</row>
    <row r="436" spans="1:81" ht="15" thickBo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</row>
    <row r="437" spans="1:81" ht="15" thickBo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</row>
    <row r="438" spans="1:81" ht="15" thickBo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</row>
    <row r="439" spans="1:81" ht="15" thickBo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</row>
    <row r="440" spans="1:81" ht="15" thickBo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</row>
    <row r="441" spans="1:81" ht="15" thickBo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</row>
    <row r="442" spans="1:81" ht="15" thickBo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</row>
    <row r="443" spans="1:81" ht="15" thickBo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</row>
    <row r="444" spans="1:81" ht="15" thickBo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</row>
    <row r="445" spans="1:81" ht="15" thickBo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</row>
    <row r="446" spans="1:81" ht="15" thickBo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</row>
    <row r="447" spans="1:81" ht="15" thickBo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</row>
    <row r="448" spans="1:81" ht="15" thickBo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</row>
    <row r="449" spans="1:81" ht="15" thickBo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</row>
    <row r="450" spans="1:81" ht="15" thickBo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</row>
    <row r="451" spans="1:81" ht="15" thickBo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</row>
    <row r="452" spans="1:81" ht="15" thickBo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</row>
    <row r="453" spans="1:81" ht="15" thickBo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</row>
    <row r="454" spans="1:81" ht="15" thickBo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</row>
    <row r="455" spans="1:81" ht="15" thickBo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</row>
    <row r="456" spans="1:81" ht="15" thickBo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</row>
    <row r="457" spans="1:81" ht="15" thickBo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</row>
    <row r="458" spans="1:81" ht="15" thickBo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</row>
    <row r="459" spans="1:81" ht="15" thickBo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</row>
    <row r="460" spans="1:81" ht="15" thickBo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</row>
    <row r="461" spans="1:81" ht="15" thickBo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</row>
    <row r="462" spans="1:81" ht="15" thickBo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</row>
    <row r="463" spans="1:81" ht="15" thickBo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</row>
    <row r="464" spans="1:81" ht="15" thickBo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</row>
    <row r="465" spans="1:81" ht="15" thickBo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</row>
    <row r="466" spans="1:81" ht="15" thickBo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</row>
    <row r="467" spans="1:81" ht="15" thickBo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</row>
    <row r="468" spans="1:81" ht="15" thickBo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</row>
    <row r="469" spans="1:81" ht="15" thickBo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</row>
    <row r="470" spans="1:81" ht="15" thickBo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</row>
    <row r="471" spans="1:81" ht="15" thickBo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</row>
    <row r="472" spans="1:81" ht="15" thickBo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</row>
    <row r="473" spans="1:81" ht="15" thickBo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</row>
    <row r="474" spans="1:81" ht="15" thickBo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</row>
    <row r="475" spans="1:81" ht="15" thickBo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</row>
    <row r="476" spans="1:81" ht="15" thickBo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</row>
    <row r="477" spans="1:81" ht="15" thickBo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</row>
    <row r="478" spans="1:81" ht="15" thickBo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</row>
    <row r="479" spans="1:81" ht="15" thickBo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</row>
    <row r="480" spans="1:81" ht="15" thickBo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</row>
    <row r="481" spans="1:81" ht="15" thickBo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</row>
    <row r="482" spans="1:81" ht="15" thickBo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</row>
    <row r="483" spans="1:81" ht="15" thickBo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</row>
    <row r="484" spans="1:81" ht="15" thickBo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</row>
    <row r="485" spans="1:81" ht="15" thickBo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</row>
    <row r="486" spans="1:81" ht="15" thickBo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</row>
    <row r="487" spans="1:81" ht="15" thickBo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</row>
    <row r="488" spans="1:81" ht="15" thickBo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</row>
    <row r="489" spans="1:81" ht="15" thickBo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</row>
    <row r="490" spans="1:81" ht="15" thickBo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</row>
    <row r="491" spans="1:81" ht="15" thickBo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</row>
    <row r="492" spans="1:81" ht="15" thickBo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</row>
    <row r="493" spans="1:81" ht="15" thickBo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</row>
    <row r="494" spans="1:81" ht="15" thickBo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</row>
    <row r="495" spans="1:81" ht="15" thickBo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</row>
    <row r="496" spans="1:81" ht="15" thickBo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</row>
    <row r="497" spans="1:81" ht="15" thickBo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</row>
    <row r="498" spans="1:81" ht="15" thickBo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</row>
    <row r="499" spans="1:81" ht="15" thickBo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</row>
    <row r="500" spans="1:81" ht="15" thickBo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</row>
    <row r="501" spans="1:81" ht="15" thickBo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</row>
    <row r="502" spans="1:81" ht="15" thickBo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</row>
    <row r="503" spans="1:81" ht="15" thickBo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</row>
    <row r="504" spans="1:81" ht="15" thickBo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</row>
    <row r="505" spans="1:81" ht="15" thickBo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</row>
    <row r="506" spans="1:81" ht="15" thickBo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</row>
    <row r="507" spans="1:81" ht="15" thickBo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</row>
    <row r="508" spans="1:81" ht="15" thickBo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</row>
    <row r="509" spans="1:81" ht="15" thickBo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</row>
    <row r="510" spans="1:81" ht="15" thickBo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</row>
    <row r="511" spans="1:81" ht="15" thickBo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</row>
    <row r="512" spans="1:81" ht="15" thickBo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</row>
    <row r="513" spans="1:81" ht="15" thickBo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</row>
    <row r="514" spans="1:81" ht="15" thickBo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</row>
    <row r="515" spans="1:81" ht="15" thickBo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</row>
    <row r="516" spans="1:81" ht="15" thickBo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</row>
    <row r="517" spans="1:81" ht="15" thickBo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</row>
    <row r="518" spans="1:81" ht="15" thickBo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</row>
    <row r="519" spans="1:81" ht="15" thickBo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</row>
    <row r="520" spans="1:81" ht="15" thickBo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</row>
    <row r="521" spans="1:81" ht="15" thickBo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</row>
    <row r="522" spans="1:81" ht="15" thickBo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</row>
    <row r="523" spans="1:81" ht="15" thickBo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</row>
    <row r="524" spans="1:81" ht="15" thickBo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</row>
    <row r="525" spans="1:81" ht="15" thickBo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</row>
    <row r="526" spans="1:81" ht="15" thickBo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</row>
    <row r="527" spans="1:81" ht="15" thickBo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</row>
    <row r="528" spans="1:81" ht="15" thickBo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</row>
    <row r="529" spans="1:81" ht="15" thickBo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</row>
    <row r="530" spans="1:81" ht="15" thickBo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</row>
    <row r="531" spans="1:81" ht="15" thickBo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</row>
    <row r="532" spans="1:81" ht="15" thickBo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</row>
    <row r="533" spans="1:81" ht="15" thickBo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</row>
    <row r="534" spans="1:81" ht="15" thickBo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</row>
    <row r="535" spans="1:81" ht="15" thickBo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</row>
    <row r="536" spans="1:81" ht="15" thickBo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</row>
    <row r="537" spans="1:81" ht="15" thickBo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</row>
    <row r="538" spans="1:81" ht="15" thickBo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</row>
    <row r="539" spans="1:81" ht="15" thickBo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</row>
    <row r="540" spans="1:81" ht="15" thickBo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</row>
    <row r="541" spans="1:81" ht="15" thickBo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</row>
    <row r="542" spans="1:81" ht="15" thickBo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</row>
    <row r="543" spans="1:81" ht="15" thickBo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</row>
    <row r="544" spans="1:81" ht="15" thickBo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</row>
    <row r="545" spans="1:81" ht="15" thickBo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</row>
    <row r="546" spans="1:81" ht="15" thickBo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</row>
    <row r="547" spans="1:81" ht="15" thickBo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</row>
    <row r="548" spans="1:81" ht="15" thickBo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</row>
    <row r="549" spans="1:81" ht="15" thickBo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</row>
    <row r="550" spans="1:81" ht="15" thickBo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</row>
    <row r="551" spans="1:81" ht="15" thickBo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</row>
    <row r="552" spans="1:81" ht="15" thickBo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</row>
    <row r="553" spans="1:81" ht="15" thickBo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</row>
    <row r="554" spans="1:81" ht="15" thickBo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</row>
    <row r="555" spans="1:81" ht="15" thickBo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</row>
    <row r="556" spans="1:81" ht="15" thickBo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</row>
    <row r="557" spans="1:81" ht="15" thickBo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</row>
    <row r="558" spans="1:81" ht="15" thickBo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</row>
    <row r="559" spans="1:81" ht="15" thickBo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</row>
    <row r="560" spans="1:81" ht="15" thickBo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</row>
    <row r="561" spans="1:81" ht="15" thickBo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</row>
    <row r="562" spans="1:81" ht="15" thickBo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</row>
    <row r="563" spans="1:81" ht="15" thickBo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</row>
    <row r="564" spans="1:81" ht="15" thickBo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</row>
    <row r="565" spans="1:81" ht="15" thickBo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</row>
    <row r="566" spans="1:81" ht="15" thickBo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</row>
    <row r="567" spans="1:81" ht="15" thickBo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</row>
    <row r="568" spans="1:81" ht="15" thickBo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</row>
    <row r="569" spans="1:81" ht="15" thickBo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</row>
    <row r="570" spans="1:81" ht="15" thickBo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</row>
    <row r="571" spans="1:81" ht="15" thickBo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</row>
    <row r="572" spans="1:81" ht="15" thickBo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</row>
    <row r="573" spans="1:81" ht="15" thickBo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</row>
    <row r="574" spans="1:81" ht="15" thickBo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</row>
    <row r="575" spans="1:81" ht="15" thickBo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</row>
    <row r="576" spans="1:81" ht="15" thickBo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</row>
    <row r="577" spans="1:81" ht="15" thickBo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</row>
    <row r="578" spans="1:81" ht="15" thickBo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</row>
    <row r="579" spans="1:81" ht="15" thickBo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</row>
    <row r="580" spans="1:81" ht="15" thickBo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</row>
    <row r="581" spans="1:81" ht="15" thickBo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</row>
    <row r="582" spans="1:81" ht="15" thickBo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</row>
    <row r="583" spans="1:81" ht="15" thickBo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</row>
    <row r="584" spans="1:81" ht="15" thickBo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</row>
    <row r="585" spans="1:81" ht="15" thickBo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</row>
    <row r="586" spans="1:81" ht="15" thickBo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</row>
    <row r="587" spans="1:81" ht="15" thickBo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</row>
    <row r="588" spans="1:81" ht="15" thickBo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</row>
    <row r="589" spans="1:81" ht="15" thickBo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</row>
    <row r="590" spans="1:81" ht="15" thickBo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</row>
    <row r="591" spans="1:81" ht="15" thickBo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</row>
    <row r="592" spans="1:81" ht="15" thickBo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</row>
    <row r="593" spans="1:81" ht="15" thickBo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</row>
    <row r="594" spans="1:81" ht="15" thickBo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</row>
    <row r="595" spans="1:81" ht="15" thickBo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</row>
    <row r="596" spans="1:81" ht="15" thickBo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</row>
    <row r="597" spans="1:81" ht="15" thickBo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</row>
    <row r="598" spans="1:81" ht="15" thickBo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</row>
    <row r="599" spans="1:81" ht="15" thickBo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</row>
    <row r="600" spans="1:81" ht="15" thickBo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</row>
    <row r="601" spans="1:81" ht="15" thickBo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</row>
    <row r="602" spans="1:81" ht="15" thickBo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</row>
    <row r="603" spans="1:81" ht="15" thickBo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</row>
    <row r="604" spans="1:81" ht="15" thickBo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</row>
    <row r="605" spans="1:81" ht="15" thickBo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</row>
    <row r="606" spans="1:81" ht="15" thickBo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</row>
  </sheetData>
  <mergeCells count="473">
    <mergeCell ref="A4:B5"/>
    <mergeCell ref="C4:C5"/>
    <mergeCell ref="D4:E4"/>
    <mergeCell ref="F4:G4"/>
    <mergeCell ref="H4:I4"/>
    <mergeCell ref="J4:K4"/>
    <mergeCell ref="L4:M4"/>
    <mergeCell ref="AT4:AU4"/>
    <mergeCell ref="AV4:AW4"/>
    <mergeCell ref="Z4:AA4"/>
    <mergeCell ref="AB4:AC4"/>
    <mergeCell ref="AD4:AE4"/>
    <mergeCell ref="AF4:AG4"/>
    <mergeCell ref="AH4:AI4"/>
    <mergeCell ref="AJ4:AK4"/>
    <mergeCell ref="N4:O4"/>
    <mergeCell ref="P4:Q4"/>
    <mergeCell ref="R4:S4"/>
    <mergeCell ref="T4:U4"/>
    <mergeCell ref="V4:W4"/>
    <mergeCell ref="X4:Y4"/>
    <mergeCell ref="X5:Y5"/>
    <mergeCell ref="Z5:AA5"/>
    <mergeCell ref="AB5:AC5"/>
    <mergeCell ref="AD5:AE5"/>
    <mergeCell ref="BJ4:BK4"/>
    <mergeCell ref="BL4:BM4"/>
    <mergeCell ref="D5:E5"/>
    <mergeCell ref="F5:G5"/>
    <mergeCell ref="H5:I5"/>
    <mergeCell ref="J5:K5"/>
    <mergeCell ref="L5:M5"/>
    <mergeCell ref="N5:O5"/>
    <mergeCell ref="P5:Q5"/>
    <mergeCell ref="R5:S5"/>
    <mergeCell ref="AX4:AY4"/>
    <mergeCell ref="AZ4:BA4"/>
    <mergeCell ref="BB4:BC4"/>
    <mergeCell ref="BD4:BE4"/>
    <mergeCell ref="BF4:BG4"/>
    <mergeCell ref="BH4:BI4"/>
    <mergeCell ref="AL4:AM4"/>
    <mergeCell ref="AN4:AO4"/>
    <mergeCell ref="AP4:AQ4"/>
    <mergeCell ref="AR4:AS4"/>
    <mergeCell ref="BD5:BE5"/>
    <mergeCell ref="BF5:BG5"/>
    <mergeCell ref="BH5:BI5"/>
    <mergeCell ref="BJ5:BK5"/>
    <mergeCell ref="BL5:BM5"/>
    <mergeCell ref="A6:A7"/>
    <mergeCell ref="B6:B8"/>
    <mergeCell ref="C6:C8"/>
    <mergeCell ref="D8:E8"/>
    <mergeCell ref="F8:G8"/>
    <mergeCell ref="AR5:AS5"/>
    <mergeCell ref="AT5:AU5"/>
    <mergeCell ref="AV5:AW5"/>
    <mergeCell ref="AX5:AY5"/>
    <mergeCell ref="AZ5:BA5"/>
    <mergeCell ref="BB5:BC5"/>
    <mergeCell ref="AF5:AG5"/>
    <mergeCell ref="AH5:AI5"/>
    <mergeCell ref="AJ5:AK5"/>
    <mergeCell ref="AL5:AM5"/>
    <mergeCell ref="AN5:AO5"/>
    <mergeCell ref="AP5:AQ5"/>
    <mergeCell ref="T5:U5"/>
    <mergeCell ref="V5:W5"/>
    <mergeCell ref="BL8:BM8"/>
    <mergeCell ref="AR8:AS8"/>
    <mergeCell ref="AT8:AU8"/>
    <mergeCell ref="AV8:AW8"/>
    <mergeCell ref="AX8:AY8"/>
    <mergeCell ref="AZ8:BA8"/>
    <mergeCell ref="BB8:BC8"/>
    <mergeCell ref="AF8:AG8"/>
    <mergeCell ref="AH8:AI8"/>
    <mergeCell ref="AJ8:AK8"/>
    <mergeCell ref="AL8:AM8"/>
    <mergeCell ref="AN8:AO8"/>
    <mergeCell ref="AP8:AQ8"/>
    <mergeCell ref="A9:A10"/>
    <mergeCell ref="B9:B11"/>
    <mergeCell ref="C9:C11"/>
    <mergeCell ref="D11:E11"/>
    <mergeCell ref="F11:G11"/>
    <mergeCell ref="BD8:BE8"/>
    <mergeCell ref="BF8:BG8"/>
    <mergeCell ref="BH8:BI8"/>
    <mergeCell ref="BJ8:BK8"/>
    <mergeCell ref="T8:U8"/>
    <mergeCell ref="V8:W8"/>
    <mergeCell ref="X8:Y8"/>
    <mergeCell ref="Z8:AA8"/>
    <mergeCell ref="AB8:AC8"/>
    <mergeCell ref="AD8:AE8"/>
    <mergeCell ref="H8:I8"/>
    <mergeCell ref="J8:K8"/>
    <mergeCell ref="L8:M8"/>
    <mergeCell ref="N8:O8"/>
    <mergeCell ref="P8:Q8"/>
    <mergeCell ref="R8:S8"/>
    <mergeCell ref="X11:Y11"/>
    <mergeCell ref="Z11:AA11"/>
    <mergeCell ref="AB11:AC11"/>
    <mergeCell ref="AD11:AE11"/>
    <mergeCell ref="H11:I11"/>
    <mergeCell ref="J11:K11"/>
    <mergeCell ref="L11:M11"/>
    <mergeCell ref="N11:O11"/>
    <mergeCell ref="P11:Q11"/>
    <mergeCell ref="R11:S11"/>
    <mergeCell ref="BD11:BE11"/>
    <mergeCell ref="BF11:BG11"/>
    <mergeCell ref="BH11:BI11"/>
    <mergeCell ref="BJ11:BK11"/>
    <mergeCell ref="BL11:BM11"/>
    <mergeCell ref="A12:A13"/>
    <mergeCell ref="B12:B14"/>
    <mergeCell ref="C12:C14"/>
    <mergeCell ref="D14:E14"/>
    <mergeCell ref="F14:G14"/>
    <mergeCell ref="AR11:AS11"/>
    <mergeCell ref="AT11:AU11"/>
    <mergeCell ref="AV11:AW11"/>
    <mergeCell ref="AX11:AY11"/>
    <mergeCell ref="AZ11:BA11"/>
    <mergeCell ref="BB11:BC11"/>
    <mergeCell ref="AF11:AG11"/>
    <mergeCell ref="AH11:AI11"/>
    <mergeCell ref="AJ11:AK11"/>
    <mergeCell ref="AL11:AM11"/>
    <mergeCell ref="AN11:AO11"/>
    <mergeCell ref="AP11:AQ11"/>
    <mergeCell ref="T11:U11"/>
    <mergeCell ref="V11:W11"/>
    <mergeCell ref="X14:Y14"/>
    <mergeCell ref="Z14:AA14"/>
    <mergeCell ref="AB14:AC14"/>
    <mergeCell ref="AD14:AE14"/>
    <mergeCell ref="H14:I14"/>
    <mergeCell ref="J14:K14"/>
    <mergeCell ref="L14:M14"/>
    <mergeCell ref="N14:O14"/>
    <mergeCell ref="P14:Q14"/>
    <mergeCell ref="R14:S14"/>
    <mergeCell ref="BD14:BE14"/>
    <mergeCell ref="BF14:BG14"/>
    <mergeCell ref="BH14:BI14"/>
    <mergeCell ref="BJ14:BK14"/>
    <mergeCell ref="BL14:BM14"/>
    <mergeCell ref="A15:A16"/>
    <mergeCell ref="B15:B17"/>
    <mergeCell ref="C15:C17"/>
    <mergeCell ref="D17:E17"/>
    <mergeCell ref="F17:G17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7:Y17"/>
    <mergeCell ref="Z17:AA17"/>
    <mergeCell ref="AB17:AC17"/>
    <mergeCell ref="AD17:AE17"/>
    <mergeCell ref="H17:I17"/>
    <mergeCell ref="J17:K17"/>
    <mergeCell ref="L17:M17"/>
    <mergeCell ref="N17:O17"/>
    <mergeCell ref="P17:Q17"/>
    <mergeCell ref="R17:S17"/>
    <mergeCell ref="BD17:BE17"/>
    <mergeCell ref="BF17:BG17"/>
    <mergeCell ref="BH17:BI17"/>
    <mergeCell ref="BJ17:BK17"/>
    <mergeCell ref="BL17:BM17"/>
    <mergeCell ref="A18:A19"/>
    <mergeCell ref="B18:B20"/>
    <mergeCell ref="C18:C20"/>
    <mergeCell ref="D20:E20"/>
    <mergeCell ref="F20:G20"/>
    <mergeCell ref="AR17:AS17"/>
    <mergeCell ref="AT17:AU17"/>
    <mergeCell ref="AV17:AW17"/>
    <mergeCell ref="AX17:AY17"/>
    <mergeCell ref="AZ17:BA17"/>
    <mergeCell ref="BB17:BC17"/>
    <mergeCell ref="AF17:AG17"/>
    <mergeCell ref="AH17:AI17"/>
    <mergeCell ref="AJ17:AK17"/>
    <mergeCell ref="AL17:AM17"/>
    <mergeCell ref="AN17:AO17"/>
    <mergeCell ref="AP17:AQ17"/>
    <mergeCell ref="T17:U17"/>
    <mergeCell ref="V17:W17"/>
    <mergeCell ref="X20:Y20"/>
    <mergeCell ref="Z20:AA20"/>
    <mergeCell ref="AB20:AC20"/>
    <mergeCell ref="AD20:AE20"/>
    <mergeCell ref="H20:I20"/>
    <mergeCell ref="J20:K20"/>
    <mergeCell ref="L20:M20"/>
    <mergeCell ref="N20:O20"/>
    <mergeCell ref="P20:Q20"/>
    <mergeCell ref="R20:S20"/>
    <mergeCell ref="BD20:BE20"/>
    <mergeCell ref="BF20:BG20"/>
    <mergeCell ref="BH20:BI20"/>
    <mergeCell ref="BJ20:BK20"/>
    <mergeCell ref="BL20:BM20"/>
    <mergeCell ref="A21:A22"/>
    <mergeCell ref="B21:B23"/>
    <mergeCell ref="C21:C23"/>
    <mergeCell ref="D23:E23"/>
    <mergeCell ref="F23:G23"/>
    <mergeCell ref="AR20:AS20"/>
    <mergeCell ref="AT20:AU20"/>
    <mergeCell ref="AV20:AW20"/>
    <mergeCell ref="AX20:AY20"/>
    <mergeCell ref="AZ20:BA20"/>
    <mergeCell ref="BB20:BC20"/>
    <mergeCell ref="AF20:AG20"/>
    <mergeCell ref="AH20:AI20"/>
    <mergeCell ref="AJ20:AK20"/>
    <mergeCell ref="AL20:AM20"/>
    <mergeCell ref="AN20:AO20"/>
    <mergeCell ref="AP20:AQ20"/>
    <mergeCell ref="T20:U20"/>
    <mergeCell ref="V20:W20"/>
    <mergeCell ref="X23:Y23"/>
    <mergeCell ref="Z23:AA23"/>
    <mergeCell ref="AB23:AC23"/>
    <mergeCell ref="AD23:AE23"/>
    <mergeCell ref="H23:I23"/>
    <mergeCell ref="J23:K23"/>
    <mergeCell ref="L23:M23"/>
    <mergeCell ref="N23:O23"/>
    <mergeCell ref="P23:Q23"/>
    <mergeCell ref="R23:S23"/>
    <mergeCell ref="BD23:BE23"/>
    <mergeCell ref="BF23:BG23"/>
    <mergeCell ref="BH23:BI23"/>
    <mergeCell ref="BJ23:BK23"/>
    <mergeCell ref="BL23:BM23"/>
    <mergeCell ref="A24:A25"/>
    <mergeCell ref="B24:B26"/>
    <mergeCell ref="C24:C26"/>
    <mergeCell ref="D26:E26"/>
    <mergeCell ref="F26:G26"/>
    <mergeCell ref="AR23:AS23"/>
    <mergeCell ref="AT23:AU23"/>
    <mergeCell ref="AV23:AW23"/>
    <mergeCell ref="AX23:AY23"/>
    <mergeCell ref="AZ23:BA23"/>
    <mergeCell ref="BB23:BC23"/>
    <mergeCell ref="AF23:AG23"/>
    <mergeCell ref="AH23:AI23"/>
    <mergeCell ref="AJ23:AK23"/>
    <mergeCell ref="AL23:AM23"/>
    <mergeCell ref="AN23:AO23"/>
    <mergeCell ref="AP23:AQ23"/>
    <mergeCell ref="T23:U23"/>
    <mergeCell ref="V23:W23"/>
    <mergeCell ref="X26:Y26"/>
    <mergeCell ref="Z26:AA26"/>
    <mergeCell ref="AB26:AC26"/>
    <mergeCell ref="AD26:AE26"/>
    <mergeCell ref="H26:I26"/>
    <mergeCell ref="J26:K26"/>
    <mergeCell ref="L26:M26"/>
    <mergeCell ref="N26:O26"/>
    <mergeCell ref="P26:Q26"/>
    <mergeCell ref="R26:S26"/>
    <mergeCell ref="BD26:BE26"/>
    <mergeCell ref="BF26:BG26"/>
    <mergeCell ref="BH26:BI26"/>
    <mergeCell ref="BJ26:BK26"/>
    <mergeCell ref="BL26:BM26"/>
    <mergeCell ref="A27:A28"/>
    <mergeCell ref="B27:B29"/>
    <mergeCell ref="C27:C29"/>
    <mergeCell ref="D29:E29"/>
    <mergeCell ref="F29:G29"/>
    <mergeCell ref="AR26:AS26"/>
    <mergeCell ref="AT26:AU26"/>
    <mergeCell ref="AV26:AW26"/>
    <mergeCell ref="AX26:AY26"/>
    <mergeCell ref="AZ26:BA26"/>
    <mergeCell ref="BB26:BC26"/>
    <mergeCell ref="AF26:AG26"/>
    <mergeCell ref="AH26:AI26"/>
    <mergeCell ref="AJ26:AK26"/>
    <mergeCell ref="AL26:AM26"/>
    <mergeCell ref="AN26:AO26"/>
    <mergeCell ref="AP26:AQ26"/>
    <mergeCell ref="T26:U26"/>
    <mergeCell ref="V26:W26"/>
    <mergeCell ref="X29:Y29"/>
    <mergeCell ref="Z29:AA29"/>
    <mergeCell ref="AB29:AC29"/>
    <mergeCell ref="AD29:AE29"/>
    <mergeCell ref="H29:I29"/>
    <mergeCell ref="J29:K29"/>
    <mergeCell ref="L29:M29"/>
    <mergeCell ref="N29:O29"/>
    <mergeCell ref="P29:Q29"/>
    <mergeCell ref="R29:S29"/>
    <mergeCell ref="BD29:BE29"/>
    <mergeCell ref="BF29:BG29"/>
    <mergeCell ref="BH29:BI29"/>
    <mergeCell ref="BJ29:BK29"/>
    <mergeCell ref="BL29:BM29"/>
    <mergeCell ref="A30:A31"/>
    <mergeCell ref="B30:B32"/>
    <mergeCell ref="C30:C32"/>
    <mergeCell ref="D32:E32"/>
    <mergeCell ref="F32:G32"/>
    <mergeCell ref="AR29:AS29"/>
    <mergeCell ref="AT29:AU29"/>
    <mergeCell ref="AV29:AW29"/>
    <mergeCell ref="AX29:AY29"/>
    <mergeCell ref="AZ29:BA29"/>
    <mergeCell ref="BB29:BC29"/>
    <mergeCell ref="AF29:AG29"/>
    <mergeCell ref="AH29:AI29"/>
    <mergeCell ref="AJ29:AK29"/>
    <mergeCell ref="AL29:AM29"/>
    <mergeCell ref="AN29:AO29"/>
    <mergeCell ref="AP29:AQ29"/>
    <mergeCell ref="T29:U29"/>
    <mergeCell ref="V29:W29"/>
    <mergeCell ref="X32:Y32"/>
    <mergeCell ref="Z32:AA32"/>
    <mergeCell ref="AB32:AC32"/>
    <mergeCell ref="AD32:AE32"/>
    <mergeCell ref="H32:I32"/>
    <mergeCell ref="J32:K32"/>
    <mergeCell ref="L32:M32"/>
    <mergeCell ref="N32:O32"/>
    <mergeCell ref="P32:Q32"/>
    <mergeCell ref="R32:S32"/>
    <mergeCell ref="BD32:BE32"/>
    <mergeCell ref="BF32:BG32"/>
    <mergeCell ref="BH32:BI32"/>
    <mergeCell ref="BJ32:BK32"/>
    <mergeCell ref="BL32:BM32"/>
    <mergeCell ref="A33:A34"/>
    <mergeCell ref="B33:B35"/>
    <mergeCell ref="C33:C35"/>
    <mergeCell ref="D35:E35"/>
    <mergeCell ref="F35:G35"/>
    <mergeCell ref="AR32:AS32"/>
    <mergeCell ref="AT32:AU32"/>
    <mergeCell ref="AV32:AW32"/>
    <mergeCell ref="AX32:AY32"/>
    <mergeCell ref="AZ32:BA32"/>
    <mergeCell ref="BB32:BC32"/>
    <mergeCell ref="AF32:AG32"/>
    <mergeCell ref="AH32:AI32"/>
    <mergeCell ref="AJ32:AK32"/>
    <mergeCell ref="AL32:AM32"/>
    <mergeCell ref="AN32:AO32"/>
    <mergeCell ref="AP32:AQ32"/>
    <mergeCell ref="T32:U32"/>
    <mergeCell ref="V32:W32"/>
    <mergeCell ref="X35:Y35"/>
    <mergeCell ref="Z35:AA35"/>
    <mergeCell ref="AB35:AC35"/>
    <mergeCell ref="AD35:AE35"/>
    <mergeCell ref="H35:I35"/>
    <mergeCell ref="J35:K35"/>
    <mergeCell ref="L35:M35"/>
    <mergeCell ref="N35:O35"/>
    <mergeCell ref="P35:Q35"/>
    <mergeCell ref="R35:S35"/>
    <mergeCell ref="BD35:BE35"/>
    <mergeCell ref="BF35:BG35"/>
    <mergeCell ref="BH35:BI35"/>
    <mergeCell ref="BJ35:BK35"/>
    <mergeCell ref="BL35:BM35"/>
    <mergeCell ref="A36:A37"/>
    <mergeCell ref="B36:B38"/>
    <mergeCell ref="C36:C38"/>
    <mergeCell ref="D38:E38"/>
    <mergeCell ref="F38:G38"/>
    <mergeCell ref="AR35:AS35"/>
    <mergeCell ref="AT35:AU35"/>
    <mergeCell ref="AV35:AW35"/>
    <mergeCell ref="AX35:AY35"/>
    <mergeCell ref="AZ35:BA35"/>
    <mergeCell ref="BB35:BC35"/>
    <mergeCell ref="AF35:AG35"/>
    <mergeCell ref="AH35:AI35"/>
    <mergeCell ref="AJ35:AK35"/>
    <mergeCell ref="AL35:AM35"/>
    <mergeCell ref="AN35:AO35"/>
    <mergeCell ref="AP35:AQ35"/>
    <mergeCell ref="T35:U35"/>
    <mergeCell ref="V35:W35"/>
    <mergeCell ref="BJ38:BK38"/>
    <mergeCell ref="BL38:BM38"/>
    <mergeCell ref="A39:A40"/>
    <mergeCell ref="B39:B41"/>
    <mergeCell ref="C39:C41"/>
    <mergeCell ref="D41:E41"/>
    <mergeCell ref="F41:G41"/>
    <mergeCell ref="AR38:AS38"/>
    <mergeCell ref="AT38:AU38"/>
    <mergeCell ref="AV38:AW38"/>
    <mergeCell ref="AX38:AY38"/>
    <mergeCell ref="AZ38:BA38"/>
    <mergeCell ref="BB38:BC38"/>
    <mergeCell ref="AF38:AG38"/>
    <mergeCell ref="AH38:AI38"/>
    <mergeCell ref="AJ38:AK38"/>
    <mergeCell ref="AL38:AM38"/>
    <mergeCell ref="AN38:AO38"/>
    <mergeCell ref="AP38:AQ38"/>
    <mergeCell ref="T38:U38"/>
    <mergeCell ref="V38:W38"/>
    <mergeCell ref="X38:Y38"/>
    <mergeCell ref="Z38:AA38"/>
    <mergeCell ref="AB38:AC38"/>
    <mergeCell ref="H41:I41"/>
    <mergeCell ref="J41:K41"/>
    <mergeCell ref="L41:M41"/>
    <mergeCell ref="N41:O41"/>
    <mergeCell ref="P41:Q41"/>
    <mergeCell ref="R41:S41"/>
    <mergeCell ref="BD38:BE38"/>
    <mergeCell ref="BF38:BG38"/>
    <mergeCell ref="BH38:BI38"/>
    <mergeCell ref="AD38:AE38"/>
    <mergeCell ref="H38:I38"/>
    <mergeCell ref="J38:K38"/>
    <mergeCell ref="L38:M38"/>
    <mergeCell ref="N38:O38"/>
    <mergeCell ref="P38:Q38"/>
    <mergeCell ref="R38:S38"/>
    <mergeCell ref="A1:BM3"/>
    <mergeCell ref="BD41:BE41"/>
    <mergeCell ref="BF41:BG41"/>
    <mergeCell ref="BH41:BI41"/>
    <mergeCell ref="BJ41:BK41"/>
    <mergeCell ref="BL41:BM41"/>
    <mergeCell ref="AR41:AS41"/>
    <mergeCell ref="AT41:AU41"/>
    <mergeCell ref="AV41:AW41"/>
    <mergeCell ref="AX41:AY41"/>
    <mergeCell ref="AZ41:BA41"/>
    <mergeCell ref="BB41:BC41"/>
    <mergeCell ref="AF41:AG41"/>
    <mergeCell ref="AH41:AI41"/>
    <mergeCell ref="AJ41:AK41"/>
    <mergeCell ref="AL41:AM41"/>
    <mergeCell ref="AN41:AO41"/>
    <mergeCell ref="AP41:AQ41"/>
    <mergeCell ref="T41:U41"/>
    <mergeCell ref="V41:W41"/>
    <mergeCell ref="X41:Y41"/>
    <mergeCell ref="Z41:AA41"/>
    <mergeCell ref="AB41:AC41"/>
    <mergeCell ref="AD41:AE4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10D56-B219-4A99-A333-E2EE98CD555E}">
  <dimension ref="A1:CC606"/>
  <sheetViews>
    <sheetView zoomScale="85" zoomScaleNormal="85" workbookViewId="0">
      <selection sqref="A1:XFD1048576"/>
    </sheetView>
  </sheetViews>
  <sheetFormatPr defaultRowHeight="14.5"/>
  <cols>
    <col min="1" max="2" width="10.59765625" customWidth="1"/>
    <col min="3" max="3" width="6.59765625" customWidth="1"/>
    <col min="4" max="13" width="7.09765625" customWidth="1"/>
    <col min="14" max="65" width="6.59765625" customWidth="1"/>
  </cols>
  <sheetData>
    <row r="1" spans="1:81" ht="15" thickBot="1">
      <c r="A1" s="142" t="s">
        <v>101</v>
      </c>
      <c r="B1" s="143"/>
      <c r="C1" s="143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4"/>
      <c r="BB1" s="144"/>
      <c r="BC1" s="144"/>
      <c r="BD1" s="144"/>
      <c r="BE1" s="144"/>
      <c r="BF1" s="144"/>
      <c r="BG1" s="144"/>
      <c r="BH1" s="144"/>
      <c r="BI1" s="144"/>
      <c r="BJ1" s="144"/>
      <c r="BK1" s="144"/>
      <c r="BL1" s="144"/>
      <c r="BM1" s="14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</row>
    <row r="2" spans="1:81" ht="26.4" customHeight="1" thickBot="1">
      <c r="A2" s="144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44"/>
      <c r="BG2" s="144"/>
      <c r="BH2" s="144"/>
      <c r="BI2" s="144"/>
      <c r="BJ2" s="144"/>
      <c r="BK2" s="144"/>
      <c r="BL2" s="144"/>
      <c r="BM2" s="14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</row>
    <row r="3" spans="1:81" ht="26.4" customHeight="1" thickBot="1">
      <c r="A3" s="144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4"/>
      <c r="BF3" s="144"/>
      <c r="BG3" s="144"/>
      <c r="BH3" s="144"/>
      <c r="BI3" s="144"/>
      <c r="BJ3" s="144"/>
      <c r="BK3" s="144"/>
      <c r="BL3" s="144"/>
      <c r="BM3" s="144"/>
      <c r="BN3" s="53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ht="27.65" customHeight="1" thickBot="1">
      <c r="A4" s="159" t="str">
        <f>整月外場班表!A4</f>
        <v>白霧時光               板橋傑仕堡</v>
      </c>
      <c r="B4" s="160"/>
      <c r="C4" s="163"/>
      <c r="D4" s="153">
        <f>整月外場班表!D4</f>
        <v>46204</v>
      </c>
      <c r="E4" s="154"/>
      <c r="F4" s="165">
        <f>D4+1</f>
        <v>46205</v>
      </c>
      <c r="G4" s="154"/>
      <c r="H4" s="157">
        <f>F4+1</f>
        <v>46206</v>
      </c>
      <c r="I4" s="158"/>
      <c r="J4" s="157">
        <f>H4+1</f>
        <v>46207</v>
      </c>
      <c r="K4" s="158"/>
      <c r="L4" s="157">
        <f>J4+1</f>
        <v>46208</v>
      </c>
      <c r="M4" s="158"/>
      <c r="N4" s="157">
        <f>L4+1</f>
        <v>46209</v>
      </c>
      <c r="O4" s="158"/>
      <c r="P4" s="157">
        <f>N4+1</f>
        <v>46210</v>
      </c>
      <c r="Q4" s="158"/>
      <c r="R4" s="153">
        <f>P4+1</f>
        <v>46211</v>
      </c>
      <c r="S4" s="154"/>
      <c r="T4" s="153">
        <f>R4+1</f>
        <v>46212</v>
      </c>
      <c r="U4" s="154"/>
      <c r="V4" s="157">
        <f>T4+1</f>
        <v>46213</v>
      </c>
      <c r="W4" s="158"/>
      <c r="X4" s="157">
        <f>V4+1</f>
        <v>46214</v>
      </c>
      <c r="Y4" s="158"/>
      <c r="Z4" s="157">
        <f>X4+1</f>
        <v>46215</v>
      </c>
      <c r="AA4" s="158"/>
      <c r="AB4" s="157">
        <f>Z4+1</f>
        <v>46216</v>
      </c>
      <c r="AC4" s="158"/>
      <c r="AD4" s="157">
        <f>AB4+1</f>
        <v>46217</v>
      </c>
      <c r="AE4" s="158"/>
      <c r="AF4" s="153">
        <f>AD4+1</f>
        <v>46218</v>
      </c>
      <c r="AG4" s="154"/>
      <c r="AH4" s="153">
        <f>AF4+1</f>
        <v>46219</v>
      </c>
      <c r="AI4" s="154"/>
      <c r="AJ4" s="157">
        <f>AH4+1</f>
        <v>46220</v>
      </c>
      <c r="AK4" s="158"/>
      <c r="AL4" s="157">
        <f>AJ4+1</f>
        <v>46221</v>
      </c>
      <c r="AM4" s="158"/>
      <c r="AN4" s="157">
        <f>AL4+1</f>
        <v>46222</v>
      </c>
      <c r="AO4" s="158"/>
      <c r="AP4" s="157">
        <f>AN4+1</f>
        <v>46223</v>
      </c>
      <c r="AQ4" s="158"/>
      <c r="AR4" s="157">
        <f>AP4+1</f>
        <v>46224</v>
      </c>
      <c r="AS4" s="158"/>
      <c r="AT4" s="153">
        <f>AR4+1</f>
        <v>46225</v>
      </c>
      <c r="AU4" s="154"/>
      <c r="AV4" s="153">
        <f>AT4+1</f>
        <v>46226</v>
      </c>
      <c r="AW4" s="154"/>
      <c r="AX4" s="157">
        <f>AV4+1</f>
        <v>46227</v>
      </c>
      <c r="AY4" s="158"/>
      <c r="AZ4" s="157">
        <f>AX4+1</f>
        <v>46228</v>
      </c>
      <c r="BA4" s="158"/>
      <c r="BB4" s="157">
        <f>AZ4+1</f>
        <v>46229</v>
      </c>
      <c r="BC4" s="158"/>
      <c r="BD4" s="157">
        <f>BB4+1</f>
        <v>46230</v>
      </c>
      <c r="BE4" s="158"/>
      <c r="BF4" s="157">
        <f>BD4+1</f>
        <v>46231</v>
      </c>
      <c r="BG4" s="158"/>
      <c r="BH4" s="153">
        <f>BF4+1</f>
        <v>46232</v>
      </c>
      <c r="BI4" s="154"/>
      <c r="BJ4" s="153">
        <f>BH4+1</f>
        <v>46233</v>
      </c>
      <c r="BK4" s="154"/>
      <c r="BL4" s="149"/>
      <c r="BM4" s="150"/>
      <c r="BN4" s="21"/>
      <c r="BO4" s="21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ht="15.65" customHeight="1" thickBot="1">
      <c r="A5" s="161"/>
      <c r="B5" s="162"/>
      <c r="C5" s="164"/>
      <c r="D5" s="155" t="s">
        <v>88</v>
      </c>
      <c r="E5" s="156"/>
      <c r="F5" s="147" t="s">
        <v>89</v>
      </c>
      <c r="G5" s="148"/>
      <c r="H5" s="151" t="s">
        <v>90</v>
      </c>
      <c r="I5" s="152"/>
      <c r="J5" s="151" t="s">
        <v>91</v>
      </c>
      <c r="K5" s="152"/>
      <c r="L5" s="151" t="s">
        <v>92</v>
      </c>
      <c r="M5" s="152"/>
      <c r="N5" s="151" t="s">
        <v>93</v>
      </c>
      <c r="O5" s="152"/>
      <c r="P5" s="151" t="s">
        <v>94</v>
      </c>
      <c r="Q5" s="152"/>
      <c r="R5" s="147" t="s">
        <v>88</v>
      </c>
      <c r="S5" s="148"/>
      <c r="T5" s="147" t="s">
        <v>89</v>
      </c>
      <c r="U5" s="148"/>
      <c r="V5" s="151" t="s">
        <v>90</v>
      </c>
      <c r="W5" s="152"/>
      <c r="X5" s="151" t="s">
        <v>91</v>
      </c>
      <c r="Y5" s="152"/>
      <c r="Z5" s="151" t="s">
        <v>92</v>
      </c>
      <c r="AA5" s="152"/>
      <c r="AB5" s="151" t="s">
        <v>93</v>
      </c>
      <c r="AC5" s="152"/>
      <c r="AD5" s="151" t="s">
        <v>94</v>
      </c>
      <c r="AE5" s="152"/>
      <c r="AF5" s="147" t="s">
        <v>88</v>
      </c>
      <c r="AG5" s="148"/>
      <c r="AH5" s="147" t="s">
        <v>89</v>
      </c>
      <c r="AI5" s="148"/>
      <c r="AJ5" s="151" t="s">
        <v>90</v>
      </c>
      <c r="AK5" s="152"/>
      <c r="AL5" s="151" t="s">
        <v>91</v>
      </c>
      <c r="AM5" s="152"/>
      <c r="AN5" s="151" t="s">
        <v>92</v>
      </c>
      <c r="AO5" s="152"/>
      <c r="AP5" s="151" t="s">
        <v>93</v>
      </c>
      <c r="AQ5" s="152"/>
      <c r="AR5" s="151" t="s">
        <v>94</v>
      </c>
      <c r="AS5" s="152"/>
      <c r="AT5" s="147" t="s">
        <v>88</v>
      </c>
      <c r="AU5" s="148"/>
      <c r="AV5" s="147" t="s">
        <v>89</v>
      </c>
      <c r="AW5" s="148"/>
      <c r="AX5" s="151" t="s">
        <v>90</v>
      </c>
      <c r="AY5" s="152"/>
      <c r="AZ5" s="151" t="s">
        <v>91</v>
      </c>
      <c r="BA5" s="152"/>
      <c r="BB5" s="151" t="s">
        <v>92</v>
      </c>
      <c r="BC5" s="152"/>
      <c r="BD5" s="151" t="s">
        <v>93</v>
      </c>
      <c r="BE5" s="152"/>
      <c r="BF5" s="151" t="s">
        <v>94</v>
      </c>
      <c r="BG5" s="152"/>
      <c r="BH5" s="147" t="s">
        <v>88</v>
      </c>
      <c r="BI5" s="148"/>
      <c r="BJ5" s="147" t="s">
        <v>89</v>
      </c>
      <c r="BK5" s="148"/>
      <c r="BL5" s="149"/>
      <c r="BM5" s="150"/>
      <c r="BN5" s="21"/>
      <c r="BO5" s="21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ht="15" thickBot="1">
      <c r="A6" s="86"/>
      <c r="B6" s="145" t="e">
        <f>#REF!</f>
        <v>#REF!</v>
      </c>
      <c r="C6" s="93"/>
      <c r="D6" s="23" t="e">
        <f>IF(MOD(#REF!,1)=0,CONCATENATE(#REF!,"00"),CONCATENATE(INT(#REF!),"30"))</f>
        <v>#REF!</v>
      </c>
      <c r="E6" s="24" t="e">
        <f>IF(MOD(#REF!,1)=0,CONCATENATE(#REF!,"00"),CONCATENATE(INT(#REF!),"30"))</f>
        <v>#REF!</v>
      </c>
      <c r="F6" s="23" t="e">
        <f>IF(MOD(#REF!,1)=0,CONCATENATE(#REF!,"00"),CONCATENATE(INT(#REF!),"30"))</f>
        <v>#REF!</v>
      </c>
      <c r="G6" s="24" t="e">
        <f>IF(MOD(#REF!,1)=0,CONCATENATE(#REF!,"00"),CONCATENATE(INT(#REF!),"30"))</f>
        <v>#REF!</v>
      </c>
      <c r="H6" s="23" t="e">
        <f>IF(MOD(#REF!,1)=0,CONCATENATE(#REF!,"00"),CONCATENATE(INT(#REF!),"30"))</f>
        <v>#REF!</v>
      </c>
      <c r="I6" s="24" t="e">
        <f>IF(MOD(#REF!,1)=0,CONCATENATE(#REF!,"00"),CONCATENATE(INT(#REF!),"30"))</f>
        <v>#REF!</v>
      </c>
      <c r="J6" s="23" t="e">
        <f>IF(MOD(#REF!,1)=0,CONCATENATE(#REF!,"00"),CONCATENATE(INT(#REF!),"30"))</f>
        <v>#REF!</v>
      </c>
      <c r="K6" s="24" t="e">
        <f>IF(MOD(#REF!,1)=0,CONCATENATE(#REF!,"00"),CONCATENATE(INT(#REF!),"30"))</f>
        <v>#REF!</v>
      </c>
      <c r="L6" s="23" t="e">
        <f>IF(MOD(#REF!,1)=0,CONCATENATE(#REF!,"00"),CONCATENATE(INT(#REF!),"30"))</f>
        <v>#REF!</v>
      </c>
      <c r="M6" s="24" t="e">
        <f>IF(MOD(#REF!,1)=0,CONCATENATE(#REF!,"00"),CONCATENATE(INT(#REF!),"30"))</f>
        <v>#REF!</v>
      </c>
      <c r="N6" s="23" t="e">
        <f>IF(MOD(#REF!,1)=0,CONCATENATE(#REF!,"00"),CONCATENATE(INT(#REF!),"30"))</f>
        <v>#REF!</v>
      </c>
      <c r="O6" s="24" t="e">
        <f>IF(MOD(#REF!,1)=0,CONCATENATE(#REF!,"00"),CONCATENATE(INT(#REF!),"30"))</f>
        <v>#REF!</v>
      </c>
      <c r="P6" s="23" t="e">
        <f>IF(MOD(#REF!,1)=0,CONCATENATE(#REF!,"00"),CONCATENATE(INT(#REF!),"30"))</f>
        <v>#REF!</v>
      </c>
      <c r="Q6" s="24" t="e">
        <f>IF(MOD(#REF!,1)=0,CONCATENATE(#REF!,"00"),CONCATENATE(INT(#REF!),"30"))</f>
        <v>#REF!</v>
      </c>
      <c r="R6" s="23" t="e">
        <f>IF(MOD(#REF!,1)=0,CONCATENATE(#REF!,"00"),CONCATENATE(INT(#REF!),"30"))</f>
        <v>#REF!</v>
      </c>
      <c r="S6" s="24" t="e">
        <f>IF(MOD(#REF!,1)=0,CONCATENATE(#REF!,"00"),CONCATENATE(INT(#REF!),"30"))</f>
        <v>#REF!</v>
      </c>
      <c r="T6" s="23" t="e">
        <f>IF(MOD(#REF!,1)=0,CONCATENATE(#REF!,"00"),CONCATENATE(INT(#REF!),"30"))</f>
        <v>#REF!</v>
      </c>
      <c r="U6" s="24" t="e">
        <f>IF(MOD(#REF!,1)=0,CONCATENATE(#REF!,"00"),CONCATENATE(INT(#REF!),"30"))</f>
        <v>#REF!</v>
      </c>
      <c r="V6" s="23" t="e">
        <f>IF(MOD(#REF!,1)=0,CONCATENATE(#REF!,"00"),CONCATENATE(INT(#REF!),"30"))</f>
        <v>#REF!</v>
      </c>
      <c r="W6" s="24" t="e">
        <f>IF(MOD(#REF!,1)=0,CONCATENATE(#REF!,"00"),CONCATENATE(INT(#REF!),"30"))</f>
        <v>#REF!</v>
      </c>
      <c r="X6" s="23" t="e">
        <f>IF(MOD(#REF!,1)=0,CONCATENATE(#REF!,"00"),CONCATENATE(INT(#REF!),"30"))</f>
        <v>#REF!</v>
      </c>
      <c r="Y6" s="24" t="e">
        <f>IF(MOD(#REF!,1)=0,CONCATENATE(#REF!,"00"),CONCATENATE(INT(#REF!),"30"))</f>
        <v>#REF!</v>
      </c>
      <c r="Z6" s="23" t="e">
        <f>IF(MOD(#REF!,1)=0,CONCATENATE(#REF!,"00"),CONCATENATE(INT(#REF!),"30"))</f>
        <v>#REF!</v>
      </c>
      <c r="AA6" s="24" t="e">
        <f>IF(MOD(#REF!,1)=0,CONCATENATE(#REF!,"00"),CONCATENATE(INT(#REF!),"30"))</f>
        <v>#REF!</v>
      </c>
      <c r="AB6" s="23" t="e">
        <f>IF(MOD(#REF!,1)=0,CONCATENATE(#REF!,"00"),CONCATENATE(INT(#REF!),"30"))</f>
        <v>#REF!</v>
      </c>
      <c r="AC6" s="24" t="e">
        <f>IF(MOD(#REF!,1)=0,CONCATENATE(#REF!,"00"),CONCATENATE(INT(#REF!),"30"))</f>
        <v>#REF!</v>
      </c>
      <c r="AD6" s="23" t="e">
        <f>IF(MOD(#REF!,1)=0,CONCATENATE(#REF!,"00"),CONCATENATE(INT(#REF!),"30"))</f>
        <v>#REF!</v>
      </c>
      <c r="AE6" s="24" t="e">
        <f>IF(MOD(#REF!,1)=0,CONCATENATE(#REF!,"00"),CONCATENATE(INT(#REF!),"30"))</f>
        <v>#REF!</v>
      </c>
      <c r="AF6" s="23" t="e">
        <f>IF(MOD(#REF!,1)=0,CONCATENATE(#REF!,"00"),CONCATENATE(INT(#REF!),"30"))</f>
        <v>#REF!</v>
      </c>
      <c r="AG6" s="24" t="e">
        <f>IF(MOD(#REF!,1)=0,CONCATENATE(#REF!,"00"),CONCATENATE(INT(#REF!),"30"))</f>
        <v>#REF!</v>
      </c>
      <c r="AH6" s="23" t="e">
        <f>IF(MOD(#REF!,1)=0,CONCATENATE(#REF!,"00"),CONCATENATE(INT(#REF!),"30"))</f>
        <v>#REF!</v>
      </c>
      <c r="AI6" s="24" t="e">
        <f>IF(MOD(#REF!,1)=0,CONCATENATE(#REF!,"00"),CONCATENATE(INT(#REF!),"30"))</f>
        <v>#REF!</v>
      </c>
      <c r="AJ6" s="23" t="e">
        <f>IF(MOD(#REF!,1)=0,CONCATENATE(#REF!,"00"),CONCATENATE(INT(#REF!),"30"))</f>
        <v>#REF!</v>
      </c>
      <c r="AK6" s="24" t="e">
        <f>IF(MOD(#REF!,1)=0,CONCATENATE(#REF!,"00"),CONCATENATE(INT(#REF!),"30"))</f>
        <v>#REF!</v>
      </c>
      <c r="AL6" s="23" t="e">
        <f>IF(MOD(#REF!,1)=0,CONCATENATE(#REF!,"00"),CONCATENATE(INT(#REF!),"30"))</f>
        <v>#REF!</v>
      </c>
      <c r="AM6" s="24" t="e">
        <f>IF(MOD(#REF!,1)=0,CONCATENATE(#REF!,"00"),CONCATENATE(INT(#REF!),"30"))</f>
        <v>#REF!</v>
      </c>
      <c r="AN6" s="23" t="e">
        <f>IF(MOD(#REF!,1)=0,CONCATENATE(#REF!,"00"),CONCATENATE(INT(#REF!),"30"))</f>
        <v>#REF!</v>
      </c>
      <c r="AO6" s="24" t="e">
        <f>IF(MOD(#REF!,1)=0,CONCATENATE(#REF!,"00"),CONCATENATE(INT(#REF!),"30"))</f>
        <v>#REF!</v>
      </c>
      <c r="AP6" s="23" t="e">
        <f>IF(MOD(#REF!,1)=0,CONCATENATE(#REF!,"00"),CONCATENATE(INT(#REF!),"30"))</f>
        <v>#REF!</v>
      </c>
      <c r="AQ6" s="24" t="e">
        <f>IF(MOD(#REF!,1)=0,CONCATENATE(#REF!,"00"),CONCATENATE(INT(#REF!),"30"))</f>
        <v>#REF!</v>
      </c>
      <c r="AR6" s="23" t="e">
        <f>IF(MOD(#REF!,1)=0,CONCATENATE(#REF!,"00"),CONCATENATE(INT(#REF!),"30"))</f>
        <v>#REF!</v>
      </c>
      <c r="AS6" s="24" t="e">
        <f>IF(MOD(#REF!,1)=0,CONCATENATE(#REF!,"00"),CONCATENATE(INT(#REF!),"30"))</f>
        <v>#REF!</v>
      </c>
      <c r="AT6" s="23" t="e">
        <f>IF(MOD(#REF!,1)=0,CONCATENATE(#REF!,"00"),CONCATENATE(INT(#REF!),"30"))</f>
        <v>#REF!</v>
      </c>
      <c r="AU6" s="24" t="e">
        <f>IF(MOD(#REF!,1)=0,CONCATENATE(#REF!,"00"),CONCATENATE(INT(#REF!),"30"))</f>
        <v>#REF!</v>
      </c>
      <c r="AV6" s="23" t="e">
        <f>IF(MOD(#REF!,1)=0,CONCATENATE(#REF!,"00"),CONCATENATE(INT(#REF!),"30"))</f>
        <v>#REF!</v>
      </c>
      <c r="AW6" s="24" t="e">
        <f>IF(MOD(#REF!,1)=0,CONCATENATE(#REF!,"00"),CONCATENATE(INT(#REF!),"30"))</f>
        <v>#REF!</v>
      </c>
      <c r="AX6" s="23" t="e">
        <f>IF(MOD(#REF!,1)=0,CONCATENATE(#REF!,"00"),CONCATENATE(INT(#REF!),"30"))</f>
        <v>#REF!</v>
      </c>
      <c r="AY6" s="24" t="e">
        <f>IF(MOD(#REF!,1)=0,CONCATENATE(#REF!,"00"),CONCATENATE(INT(#REF!),"30"))</f>
        <v>#REF!</v>
      </c>
      <c r="AZ6" s="23" t="e">
        <f>IF(MOD(#REF!,1)=0,CONCATENATE(#REF!,"00"),CONCATENATE(INT(#REF!),"30"))</f>
        <v>#REF!</v>
      </c>
      <c r="BA6" s="24" t="e">
        <f>IF(MOD(#REF!,1)=0,CONCATENATE(#REF!,"00"),CONCATENATE(INT(#REF!),"30"))</f>
        <v>#REF!</v>
      </c>
      <c r="BB6" s="23" t="e">
        <f>IF(MOD(#REF!,1)=0,CONCATENATE(#REF!,"00"),CONCATENATE(INT(#REF!),"30"))</f>
        <v>#REF!</v>
      </c>
      <c r="BC6" s="24" t="e">
        <f>IF(MOD(#REF!,1)=0,CONCATENATE(#REF!,"00"),CONCATENATE(INT(#REF!),"30"))</f>
        <v>#REF!</v>
      </c>
      <c r="BD6" s="23" t="e">
        <f>IF(MOD(#REF!,1)=0,CONCATENATE(#REF!,"00"),CONCATENATE(INT(#REF!),"30"))</f>
        <v>#REF!</v>
      </c>
      <c r="BE6" s="24" t="e">
        <f>IF(MOD(#REF!,1)=0,CONCATENATE(#REF!,"00"),CONCATENATE(INT(#REF!),"30"))</f>
        <v>#REF!</v>
      </c>
      <c r="BF6" s="23" t="e">
        <f>IF(MOD(#REF!,1)=0,CONCATENATE(#REF!,"00"),CONCATENATE(INT(#REF!),"30"))</f>
        <v>#REF!</v>
      </c>
      <c r="BG6" s="24" t="e">
        <f>IF(MOD(#REF!,1)=0,CONCATENATE(#REF!,"00"),CONCATENATE(INT(#REF!),"30"))</f>
        <v>#REF!</v>
      </c>
      <c r="BH6" s="23" t="e">
        <f>IF(MOD(#REF!,1)=0,CONCATENATE(#REF!,"00"),CONCATENATE(INT(#REF!),"30"))</f>
        <v>#REF!</v>
      </c>
      <c r="BI6" s="24" t="e">
        <f>IF(MOD(#REF!,1)=0,CONCATENATE(#REF!,"00"),CONCATENATE(INT(#REF!),"30"))</f>
        <v>#REF!</v>
      </c>
      <c r="BJ6" s="23" t="e">
        <f>IF(MOD(#REF!,1)=0,CONCATENATE(#REF!,"00"),CONCATENATE(INT(#REF!),"30"))</f>
        <v>#REF!</v>
      </c>
      <c r="BK6" s="24" t="e">
        <f>IF(MOD(#REF!,1)=0,CONCATENATE(#REF!,"00"),CONCATENATE(INT(#REF!),"30"))</f>
        <v>#REF!</v>
      </c>
      <c r="BL6" s="23" t="e">
        <f>IF(MOD(#REF!,1)=0,CONCATENATE(#REF!,"00"),CONCATENATE(INT(#REF!),"30"))</f>
        <v>#REF!</v>
      </c>
      <c r="BM6" s="24" t="e">
        <f>IF(MOD(#REF!,1)=0,CONCATENATE(#REF!,"00"),CONCATENATE(INT(#REF!),"30"))</f>
        <v>#REF!</v>
      </c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ht="15" thickBot="1">
      <c r="A7" s="84"/>
      <c r="B7" s="86"/>
      <c r="C7" s="94"/>
      <c r="D7" s="25" t="e">
        <f>IF(MOD(#REF!,1)=0,CONCATENATE(#REF!,"00"),CONCATENATE(INT(#REF!),"30"))</f>
        <v>#REF!</v>
      </c>
      <c r="E7" s="26" t="e">
        <f>IF(MOD(#REF!,1)=0,CONCATENATE(#REF!,"00"),CONCATENATE(INT(#REF!),"30"))</f>
        <v>#REF!</v>
      </c>
      <c r="F7" s="25" t="e">
        <f>IF(MOD(#REF!,1)=0,CONCATENATE(#REF!,"00"),CONCATENATE(INT(#REF!),"30"))</f>
        <v>#REF!</v>
      </c>
      <c r="G7" s="26" t="e">
        <f>IF(MOD(#REF!,1)=0,CONCATENATE(#REF!,"00"),CONCATENATE(INT(#REF!),"30"))</f>
        <v>#REF!</v>
      </c>
      <c r="H7" s="25" t="e">
        <f>IF(MOD(#REF!,1)=0,CONCATENATE(#REF!,"00"),CONCATENATE(INT(#REF!),"30"))</f>
        <v>#REF!</v>
      </c>
      <c r="I7" s="26" t="e">
        <f>IF(MOD(#REF!,1)=0,CONCATENATE(#REF!,"00"),CONCATENATE(INT(#REF!),"30"))</f>
        <v>#REF!</v>
      </c>
      <c r="J7" s="25" t="e">
        <f>IF(MOD(#REF!,1)=0,CONCATENATE(#REF!,"00"),CONCATENATE(INT(#REF!),"30"))</f>
        <v>#REF!</v>
      </c>
      <c r="K7" s="26" t="e">
        <f>IF(MOD(#REF!,1)=0,CONCATENATE(#REF!,"00"),CONCATENATE(INT(#REF!),"30"))</f>
        <v>#REF!</v>
      </c>
      <c r="L7" s="25" t="e">
        <f>IF(MOD(#REF!,1)=0,CONCATENATE(#REF!,"00"),CONCATENATE(INT(#REF!),"30"))</f>
        <v>#REF!</v>
      </c>
      <c r="M7" s="26" t="e">
        <f>IF(MOD(#REF!,1)=0,CONCATENATE(#REF!,"00"),CONCATENATE(INT(#REF!),"30"))</f>
        <v>#REF!</v>
      </c>
      <c r="N7" s="25" t="e">
        <f>IF(MOD(#REF!,1)=0,CONCATENATE(#REF!,"00"),CONCATENATE(INT(#REF!),"30"))</f>
        <v>#REF!</v>
      </c>
      <c r="O7" s="26" t="e">
        <f>IF(MOD(#REF!,1)=0,CONCATENATE(#REF!,"00"),CONCATENATE(INT(#REF!),"30"))</f>
        <v>#REF!</v>
      </c>
      <c r="P7" s="25" t="e">
        <f>IF(MOD(#REF!,1)=0,CONCATENATE(#REF!,"00"),CONCATENATE(INT(#REF!),"30"))</f>
        <v>#REF!</v>
      </c>
      <c r="Q7" s="26" t="e">
        <f>IF(MOD(#REF!,1)=0,CONCATENATE(#REF!,"00"),CONCATENATE(INT(#REF!),"30"))</f>
        <v>#REF!</v>
      </c>
      <c r="R7" s="25" t="e">
        <f>IF(MOD(#REF!,1)=0,CONCATENATE(#REF!,"00"),CONCATENATE(INT(#REF!),"30"))</f>
        <v>#REF!</v>
      </c>
      <c r="S7" s="26" t="e">
        <f>IF(MOD(#REF!,1)=0,CONCATENATE(#REF!,"00"),CONCATENATE(INT(#REF!),"30"))</f>
        <v>#REF!</v>
      </c>
      <c r="T7" s="25" t="e">
        <f>IF(MOD(#REF!,1)=0,CONCATENATE(#REF!,"00"),CONCATENATE(INT(#REF!),"30"))</f>
        <v>#REF!</v>
      </c>
      <c r="U7" s="26" t="e">
        <f>IF(MOD(#REF!,1)=0,CONCATENATE(#REF!,"00"),CONCATENATE(INT(#REF!),"30"))</f>
        <v>#REF!</v>
      </c>
      <c r="V7" s="25" t="e">
        <f>IF(MOD(#REF!,1)=0,CONCATENATE(#REF!,"00"),CONCATENATE(INT(#REF!),"30"))</f>
        <v>#REF!</v>
      </c>
      <c r="W7" s="26" t="e">
        <f>IF(MOD(#REF!,1)=0,CONCATENATE(#REF!,"00"),CONCATENATE(INT(#REF!),"30"))</f>
        <v>#REF!</v>
      </c>
      <c r="X7" s="25" t="e">
        <f>IF(MOD(#REF!,1)=0,CONCATENATE(#REF!,"00"),CONCATENATE(INT(#REF!),"30"))</f>
        <v>#REF!</v>
      </c>
      <c r="Y7" s="26" t="e">
        <f>IF(MOD(#REF!,1)=0,CONCATENATE(#REF!,"00"),CONCATENATE(INT(#REF!),"30"))</f>
        <v>#REF!</v>
      </c>
      <c r="Z7" s="25" t="e">
        <f>IF(MOD(#REF!,1)=0,CONCATENATE(#REF!,"00"),CONCATENATE(INT(#REF!),"30"))</f>
        <v>#REF!</v>
      </c>
      <c r="AA7" s="26" t="e">
        <f>IF(MOD(#REF!,1)=0,CONCATENATE(#REF!,"00"),CONCATENATE(INT(#REF!),"30"))</f>
        <v>#REF!</v>
      </c>
      <c r="AB7" s="25" t="e">
        <f>IF(MOD(#REF!,1)=0,CONCATENATE(#REF!,"00"),CONCATENATE(INT(#REF!),"30"))</f>
        <v>#REF!</v>
      </c>
      <c r="AC7" s="26" t="e">
        <f>IF(MOD(#REF!,1)=0,CONCATENATE(#REF!,"00"),CONCATENATE(INT(#REF!),"30"))</f>
        <v>#REF!</v>
      </c>
      <c r="AD7" s="25" t="e">
        <f>IF(MOD(#REF!,1)=0,CONCATENATE(#REF!,"00"),CONCATENATE(INT(#REF!),"30"))</f>
        <v>#REF!</v>
      </c>
      <c r="AE7" s="26" t="e">
        <f>IF(MOD(#REF!,1)=0,CONCATENATE(#REF!,"00"),CONCATENATE(INT(#REF!),"30"))</f>
        <v>#REF!</v>
      </c>
      <c r="AF7" s="25" t="e">
        <f>IF(MOD(#REF!,1)=0,CONCATENATE(#REF!,"00"),CONCATENATE(INT(#REF!),"30"))</f>
        <v>#REF!</v>
      </c>
      <c r="AG7" s="26" t="e">
        <f>IF(MOD(#REF!,1)=0,CONCATENATE(#REF!,"00"),CONCATENATE(INT(#REF!),"30"))</f>
        <v>#REF!</v>
      </c>
      <c r="AH7" s="25" t="e">
        <f>IF(MOD(#REF!,1)=0,CONCATENATE(#REF!,"00"),CONCATENATE(INT(#REF!),"30"))</f>
        <v>#REF!</v>
      </c>
      <c r="AI7" s="26" t="e">
        <f>IF(MOD(#REF!,1)=0,CONCATENATE(#REF!,"00"),CONCATENATE(INT(#REF!),"30"))</f>
        <v>#REF!</v>
      </c>
      <c r="AJ7" s="25" t="e">
        <f>IF(MOD(#REF!,1)=0,CONCATENATE(#REF!,"00"),CONCATENATE(INT(#REF!),"30"))</f>
        <v>#REF!</v>
      </c>
      <c r="AK7" s="26" t="e">
        <f>IF(MOD(#REF!,1)=0,CONCATENATE(#REF!,"00"),CONCATENATE(INT(#REF!),"30"))</f>
        <v>#REF!</v>
      </c>
      <c r="AL7" s="25" t="e">
        <f>IF(MOD(#REF!,1)=0,CONCATENATE(#REF!,"00"),CONCATENATE(INT(#REF!),"30"))</f>
        <v>#REF!</v>
      </c>
      <c r="AM7" s="26" t="e">
        <f>IF(MOD(#REF!,1)=0,CONCATENATE(#REF!,"00"),CONCATENATE(INT(#REF!),"30"))</f>
        <v>#REF!</v>
      </c>
      <c r="AN7" s="25" t="e">
        <f>IF(MOD(#REF!,1)=0,CONCATENATE(#REF!,"00"),CONCATENATE(INT(#REF!),"30"))</f>
        <v>#REF!</v>
      </c>
      <c r="AO7" s="26" t="e">
        <f>IF(MOD(#REF!,1)=0,CONCATENATE(#REF!,"00"),CONCATENATE(INT(#REF!),"30"))</f>
        <v>#REF!</v>
      </c>
      <c r="AP7" s="25" t="e">
        <f>IF(MOD(#REF!,1)=0,CONCATENATE(#REF!,"00"),CONCATENATE(INT(#REF!),"30"))</f>
        <v>#REF!</v>
      </c>
      <c r="AQ7" s="26" t="e">
        <f>IF(MOD(#REF!,1)=0,CONCATENATE(#REF!,"00"),CONCATENATE(INT(#REF!),"30"))</f>
        <v>#REF!</v>
      </c>
      <c r="AR7" s="25" t="e">
        <f>IF(MOD(#REF!,1)=0,CONCATENATE(#REF!,"00"),CONCATENATE(INT(#REF!),"30"))</f>
        <v>#REF!</v>
      </c>
      <c r="AS7" s="26" t="e">
        <f>IF(MOD(#REF!,1)=0,CONCATENATE(#REF!,"00"),CONCATENATE(INT(#REF!),"30"))</f>
        <v>#REF!</v>
      </c>
      <c r="AT7" s="25" t="e">
        <f>IF(MOD(#REF!,1)=0,CONCATENATE(#REF!,"00"),CONCATENATE(INT(#REF!),"30"))</f>
        <v>#REF!</v>
      </c>
      <c r="AU7" s="26" t="e">
        <f>IF(MOD(#REF!,1)=0,CONCATENATE(#REF!,"00"),CONCATENATE(INT(#REF!),"30"))</f>
        <v>#REF!</v>
      </c>
      <c r="AV7" s="25" t="e">
        <f>IF(MOD(#REF!,1)=0,CONCATENATE(#REF!,"00"),CONCATENATE(INT(#REF!),"30"))</f>
        <v>#REF!</v>
      </c>
      <c r="AW7" s="26" t="e">
        <f>IF(MOD(#REF!,1)=0,CONCATENATE(#REF!,"00"),CONCATENATE(INT(#REF!),"30"))</f>
        <v>#REF!</v>
      </c>
      <c r="AX7" s="25" t="e">
        <f>IF(MOD(#REF!,1)=0,CONCATENATE(#REF!,"00"),CONCATENATE(INT(#REF!),"30"))</f>
        <v>#REF!</v>
      </c>
      <c r="AY7" s="26" t="e">
        <f>IF(MOD(#REF!,1)=0,CONCATENATE(#REF!,"00"),CONCATENATE(INT(#REF!),"30"))</f>
        <v>#REF!</v>
      </c>
      <c r="AZ7" s="25" t="e">
        <f>IF(MOD(#REF!,1)=0,CONCATENATE(#REF!,"00"),CONCATENATE(INT(#REF!),"30"))</f>
        <v>#REF!</v>
      </c>
      <c r="BA7" s="26" t="e">
        <f>IF(MOD(#REF!,1)=0,CONCATENATE(#REF!,"00"),CONCATENATE(INT(#REF!),"30"))</f>
        <v>#REF!</v>
      </c>
      <c r="BB7" s="25" t="e">
        <f>IF(MOD(#REF!,1)=0,CONCATENATE(#REF!,"00"),CONCATENATE(INT(#REF!),"30"))</f>
        <v>#REF!</v>
      </c>
      <c r="BC7" s="26" t="e">
        <f>IF(MOD(#REF!,1)=0,CONCATENATE(#REF!,"00"),CONCATENATE(INT(#REF!),"30"))</f>
        <v>#REF!</v>
      </c>
      <c r="BD7" s="25" t="e">
        <f>IF(MOD(#REF!,1)=0,CONCATENATE(#REF!,"00"),CONCATENATE(INT(#REF!),"30"))</f>
        <v>#REF!</v>
      </c>
      <c r="BE7" s="26" t="e">
        <f>IF(MOD(#REF!,1)=0,CONCATENATE(#REF!,"00"),CONCATENATE(INT(#REF!),"30"))</f>
        <v>#REF!</v>
      </c>
      <c r="BF7" s="25" t="e">
        <f>IF(MOD(#REF!,1)=0,CONCATENATE(#REF!,"00"),CONCATENATE(INT(#REF!),"30"))</f>
        <v>#REF!</v>
      </c>
      <c r="BG7" s="26" t="e">
        <f>IF(MOD(#REF!,1)=0,CONCATENATE(#REF!,"00"),CONCATENATE(INT(#REF!),"30"))</f>
        <v>#REF!</v>
      </c>
      <c r="BH7" s="25" t="e">
        <f>IF(MOD(#REF!,1)=0,CONCATENATE(#REF!,"00"),CONCATENATE(INT(#REF!),"30"))</f>
        <v>#REF!</v>
      </c>
      <c r="BI7" s="26" t="e">
        <f>IF(MOD(#REF!,1)=0,CONCATENATE(#REF!,"00"),CONCATENATE(INT(#REF!),"30"))</f>
        <v>#REF!</v>
      </c>
      <c r="BJ7" s="25" t="e">
        <f>IF(MOD(#REF!,1)=0,CONCATENATE(#REF!,"00"),CONCATENATE(INT(#REF!),"30"))</f>
        <v>#REF!</v>
      </c>
      <c r="BK7" s="26" t="e">
        <f>IF(MOD(#REF!,1)=0,CONCATENATE(#REF!,"00"),CONCATENATE(INT(#REF!),"30"))</f>
        <v>#REF!</v>
      </c>
      <c r="BL7" s="25" t="e">
        <f>IF(MOD(#REF!,1)=0,CONCATENATE(#REF!,"00"),CONCATENATE(INT(#REF!),"30"))</f>
        <v>#REF!</v>
      </c>
      <c r="BM7" s="26" t="e">
        <f>IF(MOD(#REF!,1)=0,CONCATENATE(#REF!,"00"),CONCATENATE(INT(#REF!),"30"))</f>
        <v>#REF!</v>
      </c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s="1" customFormat="1" ht="40" customHeight="1" thickBot="1">
      <c r="A8" s="47"/>
      <c r="B8" s="84"/>
      <c r="C8" s="95"/>
      <c r="D8" s="104" t="e" cm="1">
        <f t="array" ref="D8">_xlfn.IFS(AND(D6="00",D7="00"),";H",AND(D6&lt;&gt;"00",D7&lt;&gt;"00"),CONCATENATE(D6,"-",E7,"(",E6,"-",D7,")"),AND(D6="00",D7&lt;&gt;"00"),CONCATENATE(D7,"-",E7),AND(D6&lt;&gt;"00",D7="00"),CONCATENATE(D6,"-",E6))</f>
        <v>#REF!</v>
      </c>
      <c r="E8" s="105"/>
      <c r="F8" s="104" t="e" cm="1">
        <f t="array" ref="F8">_xlfn.IFS(AND(F6="00",F7="00"),";H",AND(F6&lt;&gt;"00",F7&lt;&gt;"00"),CONCATENATE(F6,"-",G7,"(",G6,"-",F7,")"),AND(F6="00",F7&lt;&gt;"00"),CONCATENATE(F7,"-",G7),AND(F6&lt;&gt;"00",F7="00"),CONCATENATE(F6,"-",G6))</f>
        <v>#REF!</v>
      </c>
      <c r="G8" s="105"/>
      <c r="H8" s="104" t="e" cm="1">
        <f t="array" ref="H8">_xlfn.IFS(AND(H6="00",H7="00"),";H",AND(H6&lt;&gt;"00",H7&lt;&gt;"00"),CONCATENATE(H6,"-",I7,"(",I6,"-",H7,")"),AND(H6="00",H7&lt;&gt;"00"),CONCATENATE(H7,"-",I7),AND(H6&lt;&gt;"00",H7="00"),CONCATENATE(H6,"-",I6))</f>
        <v>#REF!</v>
      </c>
      <c r="I8" s="105"/>
      <c r="J8" s="104" t="e" cm="1">
        <f t="array" ref="J8">_xlfn.IFS(AND(J6="00",J7="00"),";H",AND(J6&lt;&gt;"00",J7&lt;&gt;"00"),CONCATENATE(J6,"-",K7,"(",K6,"-",J7,")"),AND(J6="00",J7&lt;&gt;"00"),CONCATENATE(J7,"-",K7),AND(J6&lt;&gt;"00",J7="00"),CONCATENATE(J6,"-",K6))</f>
        <v>#REF!</v>
      </c>
      <c r="K8" s="105"/>
      <c r="L8" s="104" t="e" cm="1">
        <f t="array" ref="L8">_xlfn.IFS(AND(L6="00",L7="00"),";H",AND(L6&lt;&gt;"00",L7&lt;&gt;"00"),CONCATENATE(L6,"-",M7,"(",M6,"-",L7,")"),AND(L6="00",L7&lt;&gt;"00"),CONCATENATE(L7,"-",M7),AND(L6&lt;&gt;"00",L7="00"),CONCATENATE(L6,"-",M6))</f>
        <v>#REF!</v>
      </c>
      <c r="M8" s="105"/>
      <c r="N8" s="104" t="e" cm="1">
        <f t="array" ref="N8">_xlfn.IFS(AND(N6="00",N7="00"),";H",AND(N6&lt;&gt;"00",N7&lt;&gt;"00"),CONCATENATE(N6,"-",O7,"(",O6,"-",N7,")"),AND(N6="00",N7&lt;&gt;"00"),CONCATENATE(N7,"-",O7),AND(N6&lt;&gt;"00",N7="00"),CONCATENATE(N6,"-",O6))</f>
        <v>#REF!</v>
      </c>
      <c r="O8" s="105"/>
      <c r="P8" s="104" t="e" cm="1">
        <f t="array" ref="P8">_xlfn.IFS(AND(P6="00",P7="00"),";H",AND(P6&lt;&gt;"00",P7&lt;&gt;"00"),CONCATENATE(P6,"-",Q7,"(",Q6,"-",P7,")"),AND(P6="00",P7&lt;&gt;"00"),CONCATENATE(P7,"-",Q7),AND(P6&lt;&gt;"00",P7="00"),CONCATENATE(P6,"-",Q6))</f>
        <v>#REF!</v>
      </c>
      <c r="Q8" s="105"/>
      <c r="R8" s="104" t="e" cm="1">
        <f t="array" ref="R8">_xlfn.IFS(AND(R6="00",R7="00"),";H",AND(R6&lt;&gt;"00",R7&lt;&gt;"00"),CONCATENATE(R6,"-",S7,"(",S6,"-",R7,")"),AND(R6="00",R7&lt;&gt;"00"),CONCATENATE(R7,"-",S7),AND(R6&lt;&gt;"00",R7="00"),CONCATENATE(R6,"-",S6))</f>
        <v>#REF!</v>
      </c>
      <c r="S8" s="105"/>
      <c r="T8" s="104" t="e" cm="1">
        <f t="array" ref="T8">_xlfn.IFS(AND(T6="00",T7="00"),";H",AND(T6&lt;&gt;"00",T7&lt;&gt;"00"),CONCATENATE(T6,"-",U7,"(",U6,"-",T7,")"),AND(T6="00",T7&lt;&gt;"00"),CONCATENATE(T7,"-",U7),AND(T6&lt;&gt;"00",T7="00"),CONCATENATE(T6,"-",U6))</f>
        <v>#REF!</v>
      </c>
      <c r="U8" s="105"/>
      <c r="V8" s="104" t="e" cm="1">
        <f t="array" ref="V8">_xlfn.IFS(AND(V6="00",V7="00"),";H",AND(V6&lt;&gt;"00",V7&lt;&gt;"00"),CONCATENATE(V6,"-",W7,"(",W6,"-",V7,")"),AND(V6="00",V7&lt;&gt;"00"),CONCATENATE(V7,"-",W7),AND(V6&lt;&gt;"00",V7="00"),CONCATENATE(V6,"-",W6))</f>
        <v>#REF!</v>
      </c>
      <c r="W8" s="105"/>
      <c r="X8" s="104" t="e" cm="1">
        <f t="array" ref="X8">_xlfn.IFS(AND(X6="00",X7="00"),";H",AND(X6&lt;&gt;"00",X7&lt;&gt;"00"),CONCATENATE(X6,"-",Y7,"(",Y6,"-",X7,")"),AND(X6="00",X7&lt;&gt;"00"),CONCATENATE(X7,"-",Y7),AND(X6&lt;&gt;"00",X7="00"),CONCATENATE(X6,"-",Y6))</f>
        <v>#REF!</v>
      </c>
      <c r="Y8" s="105"/>
      <c r="Z8" s="104" t="e" cm="1">
        <f t="array" ref="Z8">_xlfn.IFS(AND(Z6="00",Z7="00"),";H",AND(Z6&lt;&gt;"00",Z7&lt;&gt;"00"),CONCATENATE(Z6,"-",AA7,"(",AA6,"-",Z7,")"),AND(Z6="00",Z7&lt;&gt;"00"),CONCATENATE(Z7,"-",AA7),AND(Z6&lt;&gt;"00",Z7="00"),CONCATENATE(Z6,"-",AA6))</f>
        <v>#REF!</v>
      </c>
      <c r="AA8" s="105"/>
      <c r="AB8" s="104" t="e" cm="1">
        <f t="array" ref="AB8">_xlfn.IFS(AND(AB6="00",AB7="00"),";H",AND(AB6&lt;&gt;"00",AB7&lt;&gt;"00"),CONCATENATE(AB6,"-",AC7,"(",AC6,"-",AB7,")"),AND(AB6="00",AB7&lt;&gt;"00"),CONCATENATE(AB7,"-",AC7),AND(AB6&lt;&gt;"00",AB7="00"),CONCATENATE(AB6,"-",AC6))</f>
        <v>#REF!</v>
      </c>
      <c r="AC8" s="105"/>
      <c r="AD8" s="104" t="e" cm="1">
        <f t="array" ref="AD8">_xlfn.IFS(AND(AD6="00",AD7="00"),";H",AND(AD6&lt;&gt;"00",AD7&lt;&gt;"00"),CONCATENATE(AD6,"-",AE7,"(",AE6,"-",AD7,")"),AND(AD6="00",AD7&lt;&gt;"00"),CONCATENATE(AD7,"-",AE7),AND(AD6&lt;&gt;"00",AD7="00"),CONCATENATE(AD6,"-",AE6))</f>
        <v>#REF!</v>
      </c>
      <c r="AE8" s="105"/>
      <c r="AF8" s="104" t="e" cm="1">
        <f t="array" ref="AF8">_xlfn.IFS(AND(AF6="00",AF7="00"),";H",AND(AF6&lt;&gt;"00",AF7&lt;&gt;"00"),CONCATENATE(AF6,"-",AG7,"(",AG6,"-",AF7,")"),AND(AF6="00",AF7&lt;&gt;"00"),CONCATENATE(AF7,"-",AG7),AND(AF6&lt;&gt;"00",AF7="00"),CONCATENATE(AF6,"-",AG6))</f>
        <v>#REF!</v>
      </c>
      <c r="AG8" s="105"/>
      <c r="AH8" s="104" t="e" cm="1">
        <f t="array" ref="AH8">_xlfn.IFS(AND(AH6="00",AH7="00"),";H",AND(AH6&lt;&gt;"00",AH7&lt;&gt;"00"),CONCATENATE(AH6,"-",AI7,"(",AI6,"-",AH7,")"),AND(AH6="00",AH7&lt;&gt;"00"),CONCATENATE(AH7,"-",AI7),AND(AH6&lt;&gt;"00",AH7="00"),CONCATENATE(AH6,"-",AI6))</f>
        <v>#REF!</v>
      </c>
      <c r="AI8" s="105"/>
      <c r="AJ8" s="104" t="e" cm="1">
        <f t="array" ref="AJ8">_xlfn.IFS(AND(AJ6="00",AJ7="00"),";H",AND(AJ6&lt;&gt;"00",AJ7&lt;&gt;"00"),CONCATENATE(AJ6,"-",AK7,"(",AK6,"-",AJ7,")"),AND(AJ6="00",AJ7&lt;&gt;"00"),CONCATENATE(AJ7,"-",AK7),AND(AJ6&lt;&gt;"00",AJ7="00"),CONCATENATE(AJ6,"-",AK6))</f>
        <v>#REF!</v>
      </c>
      <c r="AK8" s="105"/>
      <c r="AL8" s="104" t="e" cm="1">
        <f t="array" ref="AL8">_xlfn.IFS(AND(AL6="00",AL7="00"),";H",AND(AL6&lt;&gt;"00",AL7&lt;&gt;"00"),CONCATENATE(AL6,"-",AM7,"(",AM6,"-",AL7,")"),AND(AL6="00",AL7&lt;&gt;"00"),CONCATENATE(AL7,"-",AM7),AND(AL6&lt;&gt;"00",AL7="00"),CONCATENATE(AL6,"-",AM6))</f>
        <v>#REF!</v>
      </c>
      <c r="AM8" s="105"/>
      <c r="AN8" s="104" t="e" cm="1">
        <f t="array" ref="AN8">_xlfn.IFS(AND(AN6="00",AN7="00"),";H",AND(AN6&lt;&gt;"00",AN7&lt;&gt;"00"),CONCATENATE(AN6,"-",AO7,"(",AO6,"-",AN7,")"),AND(AN6="00",AN7&lt;&gt;"00"),CONCATENATE(AN7,"-",AO7),AND(AN6&lt;&gt;"00",AN7="00"),CONCATENATE(AN6,"-",AO6))</f>
        <v>#REF!</v>
      </c>
      <c r="AO8" s="105"/>
      <c r="AP8" s="104" t="e" cm="1">
        <f t="array" ref="AP8">_xlfn.IFS(AND(AP6="00",AP7="00"),";H",AND(AP6&lt;&gt;"00",AP7&lt;&gt;"00"),CONCATENATE(AP6,"-",AQ7,"(",AQ6,"-",AP7,")"),AND(AP6="00",AP7&lt;&gt;"00"),CONCATENATE(AP7,"-",AQ7),AND(AP6&lt;&gt;"00",AP7="00"),CONCATENATE(AP6,"-",AQ6))</f>
        <v>#REF!</v>
      </c>
      <c r="AQ8" s="105"/>
      <c r="AR8" s="104" t="e" cm="1">
        <f t="array" ref="AR8">_xlfn.IFS(AND(AR6="00",AR7="00"),";H",AND(AR6&lt;&gt;"00",AR7&lt;&gt;"00"),CONCATENATE(AR6,"-",AS7,"(",AS6,"-",AR7,")"),AND(AR6="00",AR7&lt;&gt;"00"),CONCATENATE(AR7,"-",AS7),AND(AR6&lt;&gt;"00",AR7="00"),CONCATENATE(AR6,"-",AS6))</f>
        <v>#REF!</v>
      </c>
      <c r="AS8" s="105"/>
      <c r="AT8" s="104" t="e" cm="1">
        <f t="array" ref="AT8">_xlfn.IFS(AND(AT6="00",AT7="00"),";H",AND(AT6&lt;&gt;"00",AT7&lt;&gt;"00"),CONCATENATE(AT6,"-",AU7,"(",AU6,"-",AT7,")"),AND(AT6="00",AT7&lt;&gt;"00"),CONCATENATE(AT7,"-",AU7),AND(AT6&lt;&gt;"00",AT7="00"),CONCATENATE(AT6,"-",AU6))</f>
        <v>#REF!</v>
      </c>
      <c r="AU8" s="105"/>
      <c r="AV8" s="104" t="e" cm="1">
        <f t="array" ref="AV8">_xlfn.IFS(AND(AV6="00",AV7="00"),";H",AND(AV6&lt;&gt;"00",AV7&lt;&gt;"00"),CONCATENATE(AV6,"-",AW7,"(",AW6,"-",AV7,")"),AND(AV6="00",AV7&lt;&gt;"00"),CONCATENATE(AV7,"-",AW7),AND(AV6&lt;&gt;"00",AV7="00"),CONCATENATE(AV6,"-",AW6))</f>
        <v>#REF!</v>
      </c>
      <c r="AW8" s="105"/>
      <c r="AX8" s="104" t="e" cm="1">
        <f t="array" ref="AX8">_xlfn.IFS(AND(AX6="00",AX7="00"),";H",AND(AX6&lt;&gt;"00",AX7&lt;&gt;"00"),CONCATENATE(AX6,"-",AY7,"(",AY6,"-",AX7,")"),AND(AX6="00",AX7&lt;&gt;"00"),CONCATENATE(AX7,"-",AY7),AND(AX6&lt;&gt;"00",AX7="00"),CONCATENATE(AX6,"-",AY6))</f>
        <v>#REF!</v>
      </c>
      <c r="AY8" s="105"/>
      <c r="AZ8" s="104" t="e" cm="1">
        <f t="array" ref="AZ8">_xlfn.IFS(AND(AZ6="00",AZ7="00"),";H",AND(AZ6&lt;&gt;"00",AZ7&lt;&gt;"00"),CONCATENATE(AZ6,"-",BA7,"(",BA6,"-",AZ7,")"),AND(AZ6="00",AZ7&lt;&gt;"00"),CONCATENATE(AZ7,"-",BA7),AND(AZ6&lt;&gt;"00",AZ7="00"),CONCATENATE(AZ6,"-",BA6))</f>
        <v>#REF!</v>
      </c>
      <c r="BA8" s="105"/>
      <c r="BB8" s="104" t="e" cm="1">
        <f t="array" ref="BB8">_xlfn.IFS(AND(BB6="00",BB7="00"),";H",AND(BB6&lt;&gt;"00",BB7&lt;&gt;"00"),CONCATENATE(BB6,"-",BC7,"(",BC6,"-",BB7,")"),AND(BB6="00",BB7&lt;&gt;"00"),CONCATENATE(BB7,"-",BC7),AND(BB6&lt;&gt;"00",BB7="00"),CONCATENATE(BB6,"-",BC6))</f>
        <v>#REF!</v>
      </c>
      <c r="BC8" s="105"/>
      <c r="BD8" s="104" t="e" cm="1">
        <f t="array" ref="BD8">_xlfn.IFS(AND(BD6="00",BD7="00"),";H",AND(BD6&lt;&gt;"00",BD7&lt;&gt;"00"),CONCATENATE(BD6,"-",BE7,"(",BE6,"-",BD7,")"),AND(BD6="00",BD7&lt;&gt;"00"),CONCATENATE(BD7,"-",BE7),AND(BD6&lt;&gt;"00",BD7="00"),CONCATENATE(BD6,"-",BE6))</f>
        <v>#REF!</v>
      </c>
      <c r="BE8" s="105"/>
      <c r="BF8" s="104" t="e" cm="1">
        <f t="array" ref="BF8">_xlfn.IFS(AND(BF6="00",BF7="00"),";H",AND(BF6&lt;&gt;"00",BF7&lt;&gt;"00"),CONCATENATE(BF6,"-",BG7,"(",BG6,"-",BF7,")"),AND(BF6="00",BF7&lt;&gt;"00"),CONCATENATE(BF7,"-",BG7),AND(BF6&lt;&gt;"00",BF7="00"),CONCATENATE(BF6,"-",BG6))</f>
        <v>#REF!</v>
      </c>
      <c r="BG8" s="105"/>
      <c r="BH8" s="104" t="e" cm="1">
        <f t="array" ref="BH8">_xlfn.IFS(AND(BH6="00",BH7="00"),";H",AND(BH6&lt;&gt;"00",BH7&lt;&gt;"00"),CONCATENATE(BH6,"-",BI7,"(",BI6,"-",BH7,")"),AND(BH6="00",BH7&lt;&gt;"00"),CONCATENATE(BH7,"-",BI7),AND(BH6&lt;&gt;"00",BH7="00"),CONCATENATE(BH6,"-",BI6))</f>
        <v>#REF!</v>
      </c>
      <c r="BI8" s="105"/>
      <c r="BJ8" s="104" t="e" cm="1">
        <f t="array" ref="BJ8">_xlfn.IFS(AND(BJ6="00",BJ7="00"),";H",AND(BJ6&lt;&gt;"00",BJ7&lt;&gt;"00"),CONCATENATE(BJ6,"-",BK7,"(",BK6,"-",BJ7,")"),AND(BJ6="00",BJ7&lt;&gt;"00"),CONCATENATE(BJ7,"-",BK7),AND(BJ6&lt;&gt;"00",BJ7="00"),CONCATENATE(BJ6,"-",BK6))</f>
        <v>#REF!</v>
      </c>
      <c r="BK8" s="105"/>
      <c r="BL8" s="104" t="e" cm="1">
        <f t="array" ref="BL8">_xlfn.IFS(AND(BL6="00",BL7="00"),";H",AND(BL6&lt;&gt;"00",BL7&lt;&gt;"00"),CONCATENATE(BL6,"-",BM7,"(",BM6,"-",BL7,")"),AND(BL6="00",BL7&lt;&gt;"00"),CONCATENATE(BL7,"-",BM7),AND(BL6&lt;&gt;"00",BL7="00"),CONCATENATE(BL6,"-",BM6))</f>
        <v>#REF!</v>
      </c>
      <c r="BM8" s="105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</row>
    <row r="9" spans="1:81" ht="15" thickBot="1">
      <c r="A9" s="146"/>
      <c r="B9" s="145" t="e">
        <f>#REF!</f>
        <v>#REF!</v>
      </c>
      <c r="C9" s="93"/>
      <c r="D9" s="23" t="e">
        <f>IF(MOD(#REF!,1)=0,CONCATENATE(#REF!,"00"),CONCATENATE(INT(#REF!),"30"))</f>
        <v>#REF!</v>
      </c>
      <c r="E9" s="24" t="e">
        <f>IF(MOD(#REF!,1)=0,CONCATENATE(#REF!,"00"),CONCATENATE(INT(#REF!),"30"))</f>
        <v>#REF!</v>
      </c>
      <c r="F9" s="23" t="e">
        <f>IF(MOD(#REF!,1)=0,CONCATENATE(#REF!,"00"),CONCATENATE(INT(#REF!),"30"))</f>
        <v>#REF!</v>
      </c>
      <c r="G9" s="24" t="e">
        <f>IF(MOD(#REF!,1)=0,CONCATENATE(#REF!,"00"),CONCATENATE(INT(#REF!),"30"))</f>
        <v>#REF!</v>
      </c>
      <c r="H9" s="23" t="e">
        <f>IF(MOD(#REF!,1)=0,CONCATENATE(#REF!,"00"),CONCATENATE(INT(#REF!),"30"))</f>
        <v>#REF!</v>
      </c>
      <c r="I9" s="24" t="e">
        <f>IF(MOD(#REF!,1)=0,CONCATENATE(#REF!,"00"),CONCATENATE(INT(#REF!),"30"))</f>
        <v>#REF!</v>
      </c>
      <c r="J9" s="23" t="e">
        <f>IF(MOD(#REF!,1)=0,CONCATENATE(#REF!,"00"),CONCATENATE(INT(#REF!),"30"))</f>
        <v>#REF!</v>
      </c>
      <c r="K9" s="24" t="e">
        <f>IF(MOD(#REF!,1)=0,CONCATENATE(#REF!,"00"),CONCATENATE(INT(#REF!),"30"))</f>
        <v>#REF!</v>
      </c>
      <c r="L9" s="23" t="e">
        <f>IF(MOD(#REF!,1)=0,CONCATENATE(#REF!,"00"),CONCATENATE(INT(#REF!),"30"))</f>
        <v>#REF!</v>
      </c>
      <c r="M9" s="24" t="e">
        <f>IF(MOD(#REF!,1)=0,CONCATENATE(#REF!,"00"),CONCATENATE(INT(#REF!),"30"))</f>
        <v>#REF!</v>
      </c>
      <c r="N9" s="23" t="e">
        <f>IF(MOD(#REF!,1)=0,CONCATENATE(#REF!,"00"),CONCATENATE(INT(#REF!),"30"))</f>
        <v>#REF!</v>
      </c>
      <c r="O9" s="24" t="e">
        <f>IF(MOD(#REF!,1)=0,CONCATENATE(#REF!,"00"),CONCATENATE(INT(#REF!),"30"))</f>
        <v>#REF!</v>
      </c>
      <c r="P9" s="23" t="e">
        <f>IF(MOD(#REF!,1)=0,CONCATENATE(#REF!,"00"),CONCATENATE(INT(#REF!),"30"))</f>
        <v>#REF!</v>
      </c>
      <c r="Q9" s="24" t="e">
        <f>IF(MOD(#REF!,1)=0,CONCATENATE(#REF!,"00"),CONCATENATE(INT(#REF!),"30"))</f>
        <v>#REF!</v>
      </c>
      <c r="R9" s="23" t="e">
        <f>IF(MOD(#REF!,1)=0,CONCATENATE(#REF!,"00"),CONCATENATE(INT(#REF!),"30"))</f>
        <v>#REF!</v>
      </c>
      <c r="S9" s="24" t="e">
        <f>IF(MOD(#REF!,1)=0,CONCATENATE(#REF!,"00"),CONCATENATE(INT(#REF!),"30"))</f>
        <v>#REF!</v>
      </c>
      <c r="T9" s="23" t="e">
        <f>IF(MOD(#REF!,1)=0,CONCATENATE(#REF!,"00"),CONCATENATE(INT(#REF!),"30"))</f>
        <v>#REF!</v>
      </c>
      <c r="U9" s="24" t="e">
        <f>IF(MOD(#REF!,1)=0,CONCATENATE(#REF!,"00"),CONCATENATE(INT(#REF!),"30"))</f>
        <v>#REF!</v>
      </c>
      <c r="V9" s="23" t="e">
        <f>IF(MOD(#REF!,1)=0,CONCATENATE(#REF!,"00"),CONCATENATE(INT(#REF!),"30"))</f>
        <v>#REF!</v>
      </c>
      <c r="W9" s="24" t="e">
        <f>IF(MOD(#REF!,1)=0,CONCATENATE(#REF!,"00"),CONCATENATE(INT(#REF!),"30"))</f>
        <v>#REF!</v>
      </c>
      <c r="X9" s="23" t="e">
        <f>IF(MOD(#REF!,1)=0,CONCATENATE(#REF!,"00"),CONCATENATE(INT(#REF!),"30"))</f>
        <v>#REF!</v>
      </c>
      <c r="Y9" s="24" t="e">
        <f>IF(MOD(#REF!,1)=0,CONCATENATE(#REF!,"00"),CONCATENATE(INT(#REF!),"30"))</f>
        <v>#REF!</v>
      </c>
      <c r="Z9" s="23" t="e">
        <f>IF(MOD(#REF!,1)=0,CONCATENATE(#REF!,"00"),CONCATENATE(INT(#REF!),"30"))</f>
        <v>#REF!</v>
      </c>
      <c r="AA9" s="24" t="e">
        <f>IF(MOD(#REF!,1)=0,CONCATENATE(#REF!,"00"),CONCATENATE(INT(#REF!),"30"))</f>
        <v>#REF!</v>
      </c>
      <c r="AB9" s="23" t="e">
        <f>IF(MOD(#REF!,1)=0,CONCATENATE(#REF!,"00"),CONCATENATE(INT(#REF!),"30"))</f>
        <v>#REF!</v>
      </c>
      <c r="AC9" s="24" t="e">
        <f>IF(MOD(#REF!,1)=0,CONCATENATE(#REF!,"00"),CONCATENATE(INT(#REF!),"30"))</f>
        <v>#REF!</v>
      </c>
      <c r="AD9" s="23" t="e">
        <f>IF(MOD(#REF!,1)=0,CONCATENATE(#REF!,"00"),CONCATENATE(INT(#REF!),"30"))</f>
        <v>#REF!</v>
      </c>
      <c r="AE9" s="24" t="e">
        <f>IF(MOD(#REF!,1)=0,CONCATENATE(#REF!,"00"),CONCATENATE(INT(#REF!),"30"))</f>
        <v>#REF!</v>
      </c>
      <c r="AF9" s="23" t="e">
        <f>IF(MOD(#REF!,1)=0,CONCATENATE(#REF!,"00"),CONCATENATE(INT(#REF!),"30"))</f>
        <v>#REF!</v>
      </c>
      <c r="AG9" s="24" t="e">
        <f>IF(MOD(#REF!,1)=0,CONCATENATE(#REF!,"00"),CONCATENATE(INT(#REF!),"30"))</f>
        <v>#REF!</v>
      </c>
      <c r="AH9" s="23" t="e">
        <f>IF(MOD(#REF!,1)=0,CONCATENATE(#REF!,"00"),CONCATENATE(INT(#REF!),"30"))</f>
        <v>#REF!</v>
      </c>
      <c r="AI9" s="24" t="e">
        <f>IF(MOD(#REF!,1)=0,CONCATENATE(#REF!,"00"),CONCATENATE(INT(#REF!),"30"))</f>
        <v>#REF!</v>
      </c>
      <c r="AJ9" s="23" t="e">
        <f>IF(MOD(#REF!,1)=0,CONCATENATE(#REF!,"00"),CONCATENATE(INT(#REF!),"30"))</f>
        <v>#REF!</v>
      </c>
      <c r="AK9" s="24" t="e">
        <f>IF(MOD(#REF!,1)=0,CONCATENATE(#REF!,"00"),CONCATENATE(INT(#REF!),"30"))</f>
        <v>#REF!</v>
      </c>
      <c r="AL9" s="23" t="e">
        <f>IF(MOD(#REF!,1)=0,CONCATENATE(#REF!,"00"),CONCATENATE(INT(#REF!),"30"))</f>
        <v>#REF!</v>
      </c>
      <c r="AM9" s="24" t="e">
        <f>IF(MOD(#REF!,1)=0,CONCATENATE(#REF!,"00"),CONCATENATE(INT(#REF!),"30"))</f>
        <v>#REF!</v>
      </c>
      <c r="AN9" s="23" t="e">
        <f>IF(MOD(#REF!,1)=0,CONCATENATE(#REF!,"00"),CONCATENATE(INT(#REF!),"30"))</f>
        <v>#REF!</v>
      </c>
      <c r="AO9" s="24" t="e">
        <f>IF(MOD(#REF!,1)=0,CONCATENATE(#REF!,"00"),CONCATENATE(INT(#REF!),"30"))</f>
        <v>#REF!</v>
      </c>
      <c r="AP9" s="23" t="e">
        <f>IF(MOD(#REF!,1)=0,CONCATENATE(#REF!,"00"),CONCATENATE(INT(#REF!),"30"))</f>
        <v>#REF!</v>
      </c>
      <c r="AQ9" s="24" t="e">
        <f>IF(MOD(#REF!,1)=0,CONCATENATE(#REF!,"00"),CONCATENATE(INT(#REF!),"30"))</f>
        <v>#REF!</v>
      </c>
      <c r="AR9" s="23" t="e">
        <f>IF(MOD(#REF!,1)=0,CONCATENATE(#REF!,"00"),CONCATENATE(INT(#REF!),"30"))</f>
        <v>#REF!</v>
      </c>
      <c r="AS9" s="24" t="e">
        <f>IF(MOD(#REF!,1)=0,CONCATENATE(#REF!,"00"),CONCATENATE(INT(#REF!),"30"))</f>
        <v>#REF!</v>
      </c>
      <c r="AT9" s="23" t="e">
        <f>IF(MOD(#REF!,1)=0,CONCATENATE(#REF!,"00"),CONCATENATE(INT(#REF!),"30"))</f>
        <v>#REF!</v>
      </c>
      <c r="AU9" s="24" t="e">
        <f>IF(MOD(#REF!,1)=0,CONCATENATE(#REF!,"00"),CONCATENATE(INT(#REF!),"30"))</f>
        <v>#REF!</v>
      </c>
      <c r="AV9" s="23" t="e">
        <f>IF(MOD(#REF!,1)=0,CONCATENATE(#REF!,"00"),CONCATENATE(INT(#REF!),"30"))</f>
        <v>#REF!</v>
      </c>
      <c r="AW9" s="24" t="e">
        <f>IF(MOD(#REF!,1)=0,CONCATENATE(#REF!,"00"),CONCATENATE(INT(#REF!),"30"))</f>
        <v>#REF!</v>
      </c>
      <c r="AX9" s="23" t="e">
        <f>IF(MOD(#REF!,1)=0,CONCATENATE(#REF!,"00"),CONCATENATE(INT(#REF!),"30"))</f>
        <v>#REF!</v>
      </c>
      <c r="AY9" s="24" t="e">
        <f>IF(MOD(#REF!,1)=0,CONCATENATE(#REF!,"00"),CONCATENATE(INT(#REF!),"30"))</f>
        <v>#REF!</v>
      </c>
      <c r="AZ9" s="23" t="e">
        <f>IF(MOD(#REF!,1)=0,CONCATENATE(#REF!,"00"),CONCATENATE(INT(#REF!),"30"))</f>
        <v>#REF!</v>
      </c>
      <c r="BA9" s="24" t="e">
        <f>IF(MOD(#REF!,1)=0,CONCATENATE(#REF!,"00"),CONCATENATE(INT(#REF!),"30"))</f>
        <v>#REF!</v>
      </c>
      <c r="BB9" s="23" t="e">
        <f>IF(MOD(#REF!,1)=0,CONCATENATE(#REF!,"00"),CONCATENATE(INT(#REF!),"30"))</f>
        <v>#REF!</v>
      </c>
      <c r="BC9" s="24" t="e">
        <f>IF(MOD(#REF!,1)=0,CONCATENATE(#REF!,"00"),CONCATENATE(INT(#REF!),"30"))</f>
        <v>#REF!</v>
      </c>
      <c r="BD9" s="23" t="e">
        <f>IF(MOD(#REF!,1)=0,CONCATENATE(#REF!,"00"),CONCATENATE(INT(#REF!),"30"))</f>
        <v>#REF!</v>
      </c>
      <c r="BE9" s="24" t="e">
        <f>IF(MOD(#REF!,1)=0,CONCATENATE(#REF!,"00"),CONCATENATE(INT(#REF!),"30"))</f>
        <v>#REF!</v>
      </c>
      <c r="BF9" s="23" t="e">
        <f>IF(MOD(#REF!,1)=0,CONCATENATE(#REF!,"00"),CONCATENATE(INT(#REF!),"30"))</f>
        <v>#REF!</v>
      </c>
      <c r="BG9" s="24" t="e">
        <f>IF(MOD(#REF!,1)=0,CONCATENATE(#REF!,"00"),CONCATENATE(INT(#REF!),"30"))</f>
        <v>#REF!</v>
      </c>
      <c r="BH9" s="23" t="e">
        <f>IF(MOD(#REF!,1)=0,CONCATENATE(#REF!,"00"),CONCATENATE(INT(#REF!),"30"))</f>
        <v>#REF!</v>
      </c>
      <c r="BI9" s="24" t="e">
        <f>IF(MOD(#REF!,1)=0,CONCATENATE(#REF!,"00"),CONCATENATE(INT(#REF!),"30"))</f>
        <v>#REF!</v>
      </c>
      <c r="BJ9" s="23" t="e">
        <f>IF(MOD(#REF!,1)=0,CONCATENATE(#REF!,"00"),CONCATENATE(INT(#REF!),"30"))</f>
        <v>#REF!</v>
      </c>
      <c r="BK9" s="24" t="e">
        <f>IF(MOD(#REF!,1)=0,CONCATENATE(#REF!,"00"),CONCATENATE(INT(#REF!),"30"))</f>
        <v>#REF!</v>
      </c>
      <c r="BL9" s="23" t="e">
        <f>IF(MOD(#REF!,1)=0,CONCATENATE(#REF!,"00"),CONCATENATE(INT(#REF!),"30"))</f>
        <v>#REF!</v>
      </c>
      <c r="BM9" s="24" t="e">
        <f>IF(MOD(#REF!,1)=0,CONCATENATE(#REF!,"00"),CONCATENATE(INT(#REF!),"30"))</f>
        <v>#REF!</v>
      </c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</row>
    <row r="10" spans="1:81" ht="15" thickBot="1">
      <c r="A10" s="84"/>
      <c r="B10" s="86"/>
      <c r="C10" s="94"/>
      <c r="D10" s="25" t="e">
        <f>IF(MOD(#REF!,1)=0,CONCATENATE(#REF!,"00"),CONCATENATE(INT(#REF!),"30"))</f>
        <v>#REF!</v>
      </c>
      <c r="E10" s="26" t="e">
        <f>IF(MOD(#REF!,1)=0,CONCATENATE(#REF!,"00"),CONCATENATE(INT(#REF!),"30"))</f>
        <v>#REF!</v>
      </c>
      <c r="F10" s="25" t="e">
        <f>IF(MOD(#REF!,1)=0,CONCATENATE(#REF!,"00"),CONCATENATE(INT(#REF!),"30"))</f>
        <v>#REF!</v>
      </c>
      <c r="G10" s="26" t="e">
        <f>IF(MOD(#REF!,1)=0,CONCATENATE(#REF!,"00"),CONCATENATE(INT(#REF!),"30"))</f>
        <v>#REF!</v>
      </c>
      <c r="H10" s="25" t="e">
        <f>IF(MOD(#REF!,1)=0,CONCATENATE(#REF!,"00"),CONCATENATE(INT(#REF!),"30"))</f>
        <v>#REF!</v>
      </c>
      <c r="I10" s="26" t="e">
        <f>IF(MOD(#REF!,1)=0,CONCATENATE(#REF!,"00"),CONCATENATE(INT(#REF!),"30"))</f>
        <v>#REF!</v>
      </c>
      <c r="J10" s="25" t="e">
        <f>IF(MOD(#REF!,1)=0,CONCATENATE(#REF!,"00"),CONCATENATE(INT(#REF!),"30"))</f>
        <v>#REF!</v>
      </c>
      <c r="K10" s="26" t="e">
        <f>IF(MOD(#REF!,1)=0,CONCATENATE(#REF!,"00"),CONCATENATE(INT(#REF!),"30"))</f>
        <v>#REF!</v>
      </c>
      <c r="L10" s="25" t="e">
        <f>IF(MOD(#REF!,1)=0,CONCATENATE(#REF!,"00"),CONCATENATE(INT(#REF!),"30"))</f>
        <v>#REF!</v>
      </c>
      <c r="M10" s="26" t="e">
        <f>IF(MOD(#REF!,1)=0,CONCATENATE(#REF!,"00"),CONCATENATE(INT(#REF!),"30"))</f>
        <v>#REF!</v>
      </c>
      <c r="N10" s="25" t="e">
        <f>IF(MOD(#REF!,1)=0,CONCATENATE(#REF!,"00"),CONCATENATE(INT(#REF!),"30"))</f>
        <v>#REF!</v>
      </c>
      <c r="O10" s="26" t="e">
        <f>IF(MOD(#REF!,1)=0,CONCATENATE(#REF!,"00"),CONCATENATE(INT(#REF!),"30"))</f>
        <v>#REF!</v>
      </c>
      <c r="P10" s="25" t="e">
        <f>IF(MOD(#REF!,1)=0,CONCATENATE(#REF!,"00"),CONCATENATE(INT(#REF!),"30"))</f>
        <v>#REF!</v>
      </c>
      <c r="Q10" s="26" t="e">
        <f>IF(MOD(#REF!,1)=0,CONCATENATE(#REF!,"00"),CONCATENATE(INT(#REF!),"30"))</f>
        <v>#REF!</v>
      </c>
      <c r="R10" s="25" t="e">
        <f>IF(MOD(#REF!,1)=0,CONCATENATE(#REF!,"00"),CONCATENATE(INT(#REF!),"30"))</f>
        <v>#REF!</v>
      </c>
      <c r="S10" s="26" t="e">
        <f>IF(MOD(#REF!,1)=0,CONCATENATE(#REF!,"00"),CONCATENATE(INT(#REF!),"30"))</f>
        <v>#REF!</v>
      </c>
      <c r="T10" s="25" t="e">
        <f>IF(MOD(#REF!,1)=0,CONCATENATE(#REF!,"00"),CONCATENATE(INT(#REF!),"30"))</f>
        <v>#REF!</v>
      </c>
      <c r="U10" s="26" t="e">
        <f>IF(MOD(#REF!,1)=0,CONCATENATE(#REF!,"00"),CONCATENATE(INT(#REF!),"30"))</f>
        <v>#REF!</v>
      </c>
      <c r="V10" s="25" t="e">
        <f>IF(MOD(#REF!,1)=0,CONCATENATE(#REF!,"00"),CONCATENATE(INT(#REF!),"30"))</f>
        <v>#REF!</v>
      </c>
      <c r="W10" s="26" t="e">
        <f>IF(MOD(#REF!,1)=0,CONCATENATE(#REF!,"00"),CONCATENATE(INT(#REF!),"30"))</f>
        <v>#REF!</v>
      </c>
      <c r="X10" s="25" t="e">
        <f>IF(MOD(#REF!,1)=0,CONCATENATE(#REF!,"00"),CONCATENATE(INT(#REF!),"30"))</f>
        <v>#REF!</v>
      </c>
      <c r="Y10" s="26" t="e">
        <f>IF(MOD(#REF!,1)=0,CONCATENATE(#REF!,"00"),CONCATENATE(INT(#REF!),"30"))</f>
        <v>#REF!</v>
      </c>
      <c r="Z10" s="25" t="e">
        <f>IF(MOD(#REF!,1)=0,CONCATENATE(#REF!,"00"),CONCATENATE(INT(#REF!),"30"))</f>
        <v>#REF!</v>
      </c>
      <c r="AA10" s="26" t="e">
        <f>IF(MOD(#REF!,1)=0,CONCATENATE(#REF!,"00"),CONCATENATE(INT(#REF!),"30"))</f>
        <v>#REF!</v>
      </c>
      <c r="AB10" s="25" t="e">
        <f>IF(MOD(#REF!,1)=0,CONCATENATE(#REF!,"00"),CONCATENATE(INT(#REF!),"30"))</f>
        <v>#REF!</v>
      </c>
      <c r="AC10" s="26" t="e">
        <f>IF(MOD(#REF!,1)=0,CONCATENATE(#REF!,"00"),CONCATENATE(INT(#REF!),"30"))</f>
        <v>#REF!</v>
      </c>
      <c r="AD10" s="25" t="e">
        <f>IF(MOD(#REF!,1)=0,CONCATENATE(#REF!,"00"),CONCATENATE(INT(#REF!),"30"))</f>
        <v>#REF!</v>
      </c>
      <c r="AE10" s="26" t="e">
        <f>IF(MOD(#REF!,1)=0,CONCATENATE(#REF!,"00"),CONCATENATE(INT(#REF!),"30"))</f>
        <v>#REF!</v>
      </c>
      <c r="AF10" s="25" t="e">
        <f>IF(MOD(#REF!,1)=0,CONCATENATE(#REF!,"00"),CONCATENATE(INT(#REF!),"30"))</f>
        <v>#REF!</v>
      </c>
      <c r="AG10" s="26" t="e">
        <f>IF(MOD(#REF!,1)=0,CONCATENATE(#REF!,"00"),CONCATENATE(INT(#REF!),"30"))</f>
        <v>#REF!</v>
      </c>
      <c r="AH10" s="25" t="e">
        <f>IF(MOD(#REF!,1)=0,CONCATENATE(#REF!,"00"),CONCATENATE(INT(#REF!),"30"))</f>
        <v>#REF!</v>
      </c>
      <c r="AI10" s="26" t="e">
        <f>IF(MOD(#REF!,1)=0,CONCATENATE(#REF!,"00"),CONCATENATE(INT(#REF!),"30"))</f>
        <v>#REF!</v>
      </c>
      <c r="AJ10" s="25" t="e">
        <f>IF(MOD(#REF!,1)=0,CONCATENATE(#REF!,"00"),CONCATENATE(INT(#REF!),"30"))</f>
        <v>#REF!</v>
      </c>
      <c r="AK10" s="26" t="e">
        <f>IF(MOD(#REF!,1)=0,CONCATENATE(#REF!,"00"),CONCATENATE(INT(#REF!),"30"))</f>
        <v>#REF!</v>
      </c>
      <c r="AL10" s="25" t="e">
        <f>IF(MOD(#REF!,1)=0,CONCATENATE(#REF!,"00"),CONCATENATE(INT(#REF!),"30"))</f>
        <v>#REF!</v>
      </c>
      <c r="AM10" s="26" t="e">
        <f>IF(MOD(#REF!,1)=0,CONCATENATE(#REF!,"00"),CONCATENATE(INT(#REF!),"30"))</f>
        <v>#REF!</v>
      </c>
      <c r="AN10" s="25" t="e">
        <f>IF(MOD(#REF!,1)=0,CONCATENATE(#REF!,"00"),CONCATENATE(INT(#REF!),"30"))</f>
        <v>#REF!</v>
      </c>
      <c r="AO10" s="26" t="e">
        <f>IF(MOD(#REF!,1)=0,CONCATENATE(#REF!,"00"),CONCATENATE(INT(#REF!),"30"))</f>
        <v>#REF!</v>
      </c>
      <c r="AP10" s="25" t="e">
        <f>IF(MOD(#REF!,1)=0,CONCATENATE(#REF!,"00"),CONCATENATE(INT(#REF!),"30"))</f>
        <v>#REF!</v>
      </c>
      <c r="AQ10" s="26" t="e">
        <f>IF(MOD(#REF!,1)=0,CONCATENATE(#REF!,"00"),CONCATENATE(INT(#REF!),"30"))</f>
        <v>#REF!</v>
      </c>
      <c r="AR10" s="25" t="e">
        <f>IF(MOD(#REF!,1)=0,CONCATENATE(#REF!,"00"),CONCATENATE(INT(#REF!),"30"))</f>
        <v>#REF!</v>
      </c>
      <c r="AS10" s="26" t="e">
        <f>IF(MOD(#REF!,1)=0,CONCATENATE(#REF!,"00"),CONCATENATE(INT(#REF!),"30"))</f>
        <v>#REF!</v>
      </c>
      <c r="AT10" s="25" t="e">
        <f>IF(MOD(#REF!,1)=0,CONCATENATE(#REF!,"00"),CONCATENATE(INT(#REF!),"30"))</f>
        <v>#REF!</v>
      </c>
      <c r="AU10" s="26" t="e">
        <f>IF(MOD(#REF!,1)=0,CONCATENATE(#REF!,"00"),CONCATENATE(INT(#REF!),"30"))</f>
        <v>#REF!</v>
      </c>
      <c r="AV10" s="25" t="e">
        <f>IF(MOD(#REF!,1)=0,CONCATENATE(#REF!,"00"),CONCATENATE(INT(#REF!),"30"))</f>
        <v>#REF!</v>
      </c>
      <c r="AW10" s="26" t="e">
        <f>IF(MOD(#REF!,1)=0,CONCATENATE(#REF!,"00"),CONCATENATE(INT(#REF!),"30"))</f>
        <v>#REF!</v>
      </c>
      <c r="AX10" s="25" t="e">
        <f>IF(MOD(#REF!,1)=0,CONCATENATE(#REF!,"00"),CONCATENATE(INT(#REF!),"30"))</f>
        <v>#REF!</v>
      </c>
      <c r="AY10" s="26" t="e">
        <f>IF(MOD(#REF!,1)=0,CONCATENATE(#REF!,"00"),CONCATENATE(INT(#REF!),"30"))</f>
        <v>#REF!</v>
      </c>
      <c r="AZ10" s="25" t="e">
        <f>IF(MOD(#REF!,1)=0,CONCATENATE(#REF!,"00"),CONCATENATE(INT(#REF!),"30"))</f>
        <v>#REF!</v>
      </c>
      <c r="BA10" s="26" t="e">
        <f>IF(MOD(#REF!,1)=0,CONCATENATE(#REF!,"00"),CONCATENATE(INT(#REF!),"30"))</f>
        <v>#REF!</v>
      </c>
      <c r="BB10" s="25" t="e">
        <f>IF(MOD(#REF!,1)=0,CONCATENATE(#REF!,"00"),CONCATENATE(INT(#REF!),"30"))</f>
        <v>#REF!</v>
      </c>
      <c r="BC10" s="26" t="e">
        <f>IF(MOD(#REF!,1)=0,CONCATENATE(#REF!,"00"),CONCATENATE(INT(#REF!),"30"))</f>
        <v>#REF!</v>
      </c>
      <c r="BD10" s="25" t="e">
        <f>IF(MOD(#REF!,1)=0,CONCATENATE(#REF!,"00"),CONCATENATE(INT(#REF!),"30"))</f>
        <v>#REF!</v>
      </c>
      <c r="BE10" s="26" t="e">
        <f>IF(MOD(#REF!,1)=0,CONCATENATE(#REF!,"00"),CONCATENATE(INT(#REF!),"30"))</f>
        <v>#REF!</v>
      </c>
      <c r="BF10" s="25" t="e">
        <f>IF(MOD(#REF!,1)=0,CONCATENATE(#REF!,"00"),CONCATENATE(INT(#REF!),"30"))</f>
        <v>#REF!</v>
      </c>
      <c r="BG10" s="26" t="e">
        <f>IF(MOD(#REF!,1)=0,CONCATENATE(#REF!,"00"),CONCATENATE(INT(#REF!),"30"))</f>
        <v>#REF!</v>
      </c>
      <c r="BH10" s="25" t="e">
        <f>IF(MOD(#REF!,1)=0,CONCATENATE(#REF!,"00"),CONCATENATE(INT(#REF!),"30"))</f>
        <v>#REF!</v>
      </c>
      <c r="BI10" s="26" t="e">
        <f>IF(MOD(#REF!,1)=0,CONCATENATE(#REF!,"00"),CONCATENATE(INT(#REF!),"30"))</f>
        <v>#REF!</v>
      </c>
      <c r="BJ10" s="25" t="e">
        <f>IF(MOD(#REF!,1)=0,CONCATENATE(#REF!,"00"),CONCATENATE(INT(#REF!),"30"))</f>
        <v>#REF!</v>
      </c>
      <c r="BK10" s="26" t="e">
        <f>IF(MOD(#REF!,1)=0,CONCATENATE(#REF!,"00"),CONCATENATE(INT(#REF!),"30"))</f>
        <v>#REF!</v>
      </c>
      <c r="BL10" s="25" t="e">
        <f>IF(MOD(#REF!,1)=0,CONCATENATE(#REF!,"00"),CONCATENATE(INT(#REF!),"30"))</f>
        <v>#REF!</v>
      </c>
      <c r="BM10" s="26" t="e">
        <f>IF(MOD(#REF!,1)=0,CONCATENATE(#REF!,"00"),CONCATENATE(INT(#REF!),"30"))</f>
        <v>#REF!</v>
      </c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s="1" customFormat="1" ht="40" customHeight="1" thickBot="1">
      <c r="A11" s="47"/>
      <c r="B11" s="84"/>
      <c r="C11" s="95"/>
      <c r="D11" s="104" t="e" cm="1">
        <f t="array" ref="D11">_xlfn.IFS(AND(D9="00",D10="00"),";H",AND(D9&lt;&gt;"00",D10&lt;&gt;"00"),CONCATENATE(D9,"-",E10,"(",E9,"-",D10,")"),AND(D9="00",D10&lt;&gt;"00"),CONCATENATE(D10,"-",E10),AND(D9&lt;&gt;"00",D10="00"),CONCATENATE(D9,"-",E9))</f>
        <v>#REF!</v>
      </c>
      <c r="E11" s="105"/>
      <c r="F11" s="104" t="e" cm="1">
        <f t="array" ref="F11">_xlfn.IFS(AND(F9="00",F10="00"),";H",AND(F9&lt;&gt;"00",F10&lt;&gt;"00"),CONCATENATE(F9,"-",G10,"(",G9,"-",F10,")"),AND(F9="00",F10&lt;&gt;"00"),CONCATENATE(F10,"-",G10),AND(F9&lt;&gt;"00",F10="00"),CONCATENATE(F9,"-",G9))</f>
        <v>#REF!</v>
      </c>
      <c r="G11" s="105"/>
      <c r="H11" s="104" t="e" cm="1">
        <f t="array" ref="H11">_xlfn.IFS(AND(H9="00",H10="00"),";H",AND(H9&lt;&gt;"00",H10&lt;&gt;"00"),CONCATENATE(H9,"-",I10,"(",I9,"-",H10,")"),AND(H9="00",H10&lt;&gt;"00"),CONCATENATE(H10,"-",I10),AND(H9&lt;&gt;"00",H10="00"),CONCATENATE(H9,"-",I9))</f>
        <v>#REF!</v>
      </c>
      <c r="I11" s="105"/>
      <c r="J11" s="104" t="e" cm="1">
        <f t="array" ref="J11">_xlfn.IFS(AND(J9="00",J10="00"),";H",AND(J9&lt;&gt;"00",J10&lt;&gt;"00"),CONCATENATE(J9,"-",K10,"(",K9,"-",J10,")"),AND(J9="00",J10&lt;&gt;"00"),CONCATENATE(J10,"-",K10),AND(J9&lt;&gt;"00",J10="00"),CONCATENATE(J9,"-",K9))</f>
        <v>#REF!</v>
      </c>
      <c r="K11" s="105"/>
      <c r="L11" s="104" t="e" cm="1">
        <f t="array" ref="L11">_xlfn.IFS(AND(L9="00",L10="00"),";H",AND(L9&lt;&gt;"00",L10&lt;&gt;"00"),CONCATENATE(L9,"-",M10,"(",M9,"-",L10,")"),AND(L9="00",L10&lt;&gt;"00"),CONCATENATE(L10,"-",M10),AND(L9&lt;&gt;"00",L10="00"),CONCATENATE(L9,"-",M9))</f>
        <v>#REF!</v>
      </c>
      <c r="M11" s="105"/>
      <c r="N11" s="104" t="e" cm="1">
        <f t="array" ref="N11">_xlfn.IFS(AND(N9="00",N10="00"),";H",AND(N9&lt;&gt;"00",N10&lt;&gt;"00"),CONCATENATE(N9,"-",O10,"(",O9,"-",N10,")"),AND(N9="00",N10&lt;&gt;"00"),CONCATENATE(N10,"-",O10),AND(N9&lt;&gt;"00",N10="00"),CONCATENATE(N9,"-",O9))</f>
        <v>#REF!</v>
      </c>
      <c r="O11" s="105"/>
      <c r="P11" s="104" t="e" cm="1">
        <f t="array" ref="P11">_xlfn.IFS(AND(P9="00",P10="00"),";H",AND(P9&lt;&gt;"00",P10&lt;&gt;"00"),CONCATENATE(P9,"-",Q10,"(",Q9,"-",P10,")"),AND(P9="00",P10&lt;&gt;"00"),CONCATENATE(P10,"-",Q10),AND(P9&lt;&gt;"00",P10="00"),CONCATENATE(P9,"-",Q9))</f>
        <v>#REF!</v>
      </c>
      <c r="Q11" s="105"/>
      <c r="R11" s="104" t="e" cm="1">
        <f t="array" ref="R11">_xlfn.IFS(AND(R9="00",R10="00"),";H",AND(R9&lt;&gt;"00",R10&lt;&gt;"00"),CONCATENATE(R9,"-",S10,"(",S9,"-",R10,")"),AND(R9="00",R10&lt;&gt;"00"),CONCATENATE(R10,"-",S10),AND(R9&lt;&gt;"00",R10="00"),CONCATENATE(R9,"-",S9))</f>
        <v>#REF!</v>
      </c>
      <c r="S11" s="105"/>
      <c r="T11" s="104" t="e" cm="1">
        <f t="array" ref="T11">_xlfn.IFS(AND(T9="00",T10="00"),";H",AND(T9&lt;&gt;"00",T10&lt;&gt;"00"),CONCATENATE(T9,"-",U10,"(",U9,"-",T10,")"),AND(T9="00",T10&lt;&gt;"00"),CONCATENATE(T10,"-",U10),AND(T9&lt;&gt;"00",T10="00"),CONCATENATE(T9,"-",U9))</f>
        <v>#REF!</v>
      </c>
      <c r="U11" s="105"/>
      <c r="V11" s="104" t="e" cm="1">
        <f t="array" ref="V11">_xlfn.IFS(AND(V9="00",V10="00"),";H",AND(V9&lt;&gt;"00",V10&lt;&gt;"00"),CONCATENATE(V9,"-",W10,"(",W9,"-",V10,")"),AND(V9="00",V10&lt;&gt;"00"),CONCATENATE(V10,"-",W10),AND(V9&lt;&gt;"00",V10="00"),CONCATENATE(V9,"-",W9))</f>
        <v>#REF!</v>
      </c>
      <c r="W11" s="105"/>
      <c r="X11" s="104" t="e" cm="1">
        <f t="array" ref="X11">_xlfn.IFS(AND(X9="00",X10="00"),";H",AND(X9&lt;&gt;"00",X10&lt;&gt;"00"),CONCATENATE(X9,"-",Y10,"(",Y9,"-",X10,")"),AND(X9="00",X10&lt;&gt;"00"),CONCATENATE(X10,"-",Y10),AND(X9&lt;&gt;"00",X10="00"),CONCATENATE(X9,"-",Y9))</f>
        <v>#REF!</v>
      </c>
      <c r="Y11" s="105"/>
      <c r="Z11" s="104" t="e" cm="1">
        <f t="array" ref="Z11">_xlfn.IFS(AND(Z9="00",Z10="00"),";H",AND(Z9&lt;&gt;"00",Z10&lt;&gt;"00"),CONCATENATE(Z9,"-",AA10,"(",AA9,"-",Z10,")"),AND(Z9="00",Z10&lt;&gt;"00"),CONCATENATE(Z10,"-",AA10),AND(Z9&lt;&gt;"00",Z10="00"),CONCATENATE(Z9,"-",AA9))</f>
        <v>#REF!</v>
      </c>
      <c r="AA11" s="105"/>
      <c r="AB11" s="104" t="e" cm="1">
        <f t="array" ref="AB11">_xlfn.IFS(AND(AB9="00",AB10="00"),";H",AND(AB9&lt;&gt;"00",AB10&lt;&gt;"00"),CONCATENATE(AB9,"-",AC10,"(",AC9,"-",AB10,")"),AND(AB9="00",AB10&lt;&gt;"00"),CONCATENATE(AB10,"-",AC10),AND(AB9&lt;&gt;"00",AB10="00"),CONCATENATE(AB9,"-",AC9))</f>
        <v>#REF!</v>
      </c>
      <c r="AC11" s="105"/>
      <c r="AD11" s="104" t="e" cm="1">
        <f t="array" ref="AD11">_xlfn.IFS(AND(AD9="00",AD10="00"),";H",AND(AD9&lt;&gt;"00",AD10&lt;&gt;"00"),CONCATENATE(AD9,"-",AE10,"(",AE9,"-",AD10,")"),AND(AD9="00",AD10&lt;&gt;"00"),CONCATENATE(AD10,"-",AE10),AND(AD9&lt;&gt;"00",AD10="00"),CONCATENATE(AD9,"-",AE9))</f>
        <v>#REF!</v>
      </c>
      <c r="AE11" s="105"/>
      <c r="AF11" s="104" t="e" cm="1">
        <f t="array" ref="AF11">_xlfn.IFS(AND(AF9="00",AF10="00"),";H",AND(AF9&lt;&gt;"00",AF10&lt;&gt;"00"),CONCATENATE(AF9,"-",AG10,"(",AG9,"-",AF10,")"),AND(AF9="00",AF10&lt;&gt;"00"),CONCATENATE(AF10,"-",AG10),AND(AF9&lt;&gt;"00",AF10="00"),CONCATENATE(AF9,"-",AG9))</f>
        <v>#REF!</v>
      </c>
      <c r="AG11" s="105"/>
      <c r="AH11" s="104" t="e" cm="1">
        <f t="array" ref="AH11">_xlfn.IFS(AND(AH9="00",AH10="00"),";H",AND(AH9&lt;&gt;"00",AH10&lt;&gt;"00"),CONCATENATE(AH9,"-",AI10,"(",AI9,"-",AH10,")"),AND(AH9="00",AH10&lt;&gt;"00"),CONCATENATE(AH10,"-",AI10),AND(AH9&lt;&gt;"00",AH10="00"),CONCATENATE(AH9,"-",AI9))</f>
        <v>#REF!</v>
      </c>
      <c r="AI11" s="105"/>
      <c r="AJ11" s="104" t="e" cm="1">
        <f t="array" ref="AJ11">_xlfn.IFS(AND(AJ9="00",AJ10="00"),";H",AND(AJ9&lt;&gt;"00",AJ10&lt;&gt;"00"),CONCATENATE(AJ9,"-",AK10,"(",AK9,"-",AJ10,")"),AND(AJ9="00",AJ10&lt;&gt;"00"),CONCATENATE(AJ10,"-",AK10),AND(AJ9&lt;&gt;"00",AJ10="00"),CONCATENATE(AJ9,"-",AK9))</f>
        <v>#REF!</v>
      </c>
      <c r="AK11" s="105"/>
      <c r="AL11" s="104" t="e" cm="1">
        <f t="array" ref="AL11">_xlfn.IFS(AND(AL9="00",AL10="00"),";H",AND(AL9&lt;&gt;"00",AL10&lt;&gt;"00"),CONCATENATE(AL9,"-",AM10,"(",AM9,"-",AL10,")"),AND(AL9="00",AL10&lt;&gt;"00"),CONCATENATE(AL10,"-",AM10),AND(AL9&lt;&gt;"00",AL10="00"),CONCATENATE(AL9,"-",AM9))</f>
        <v>#REF!</v>
      </c>
      <c r="AM11" s="105"/>
      <c r="AN11" s="104" t="e" cm="1">
        <f t="array" ref="AN11">_xlfn.IFS(AND(AN9="00",AN10="00"),";H",AND(AN9&lt;&gt;"00",AN10&lt;&gt;"00"),CONCATENATE(AN9,"-",AO10,"(",AO9,"-",AN10,")"),AND(AN9="00",AN10&lt;&gt;"00"),CONCATENATE(AN10,"-",AO10),AND(AN9&lt;&gt;"00",AN10="00"),CONCATENATE(AN9,"-",AO9))</f>
        <v>#REF!</v>
      </c>
      <c r="AO11" s="105"/>
      <c r="AP11" s="104" t="e" cm="1">
        <f t="array" ref="AP11">_xlfn.IFS(AND(AP9="00",AP10="00"),";H",AND(AP9&lt;&gt;"00",AP10&lt;&gt;"00"),CONCATENATE(AP9,"-",AQ10,"(",AQ9,"-",AP10,")"),AND(AP9="00",AP10&lt;&gt;"00"),CONCATENATE(AP10,"-",AQ10),AND(AP9&lt;&gt;"00",AP10="00"),CONCATENATE(AP9,"-",AQ9))</f>
        <v>#REF!</v>
      </c>
      <c r="AQ11" s="105"/>
      <c r="AR11" s="104" t="e" cm="1">
        <f t="array" ref="AR11">_xlfn.IFS(AND(AR9="00",AR10="00"),";H",AND(AR9&lt;&gt;"00",AR10&lt;&gt;"00"),CONCATENATE(AR9,"-",AS10,"(",AS9,"-",AR10,")"),AND(AR9="00",AR10&lt;&gt;"00"),CONCATENATE(AR10,"-",AS10),AND(AR9&lt;&gt;"00",AR10="00"),CONCATENATE(AR9,"-",AS9))</f>
        <v>#REF!</v>
      </c>
      <c r="AS11" s="105"/>
      <c r="AT11" s="104" t="e" cm="1">
        <f t="array" ref="AT11">_xlfn.IFS(AND(AT9="00",AT10="00"),";H",AND(AT9&lt;&gt;"00",AT10&lt;&gt;"00"),CONCATENATE(AT9,"-",AU10,"(",AU9,"-",AT10,")"),AND(AT9="00",AT10&lt;&gt;"00"),CONCATENATE(AT10,"-",AU10),AND(AT9&lt;&gt;"00",AT10="00"),CONCATENATE(AT9,"-",AU9))</f>
        <v>#REF!</v>
      </c>
      <c r="AU11" s="105"/>
      <c r="AV11" s="104" t="e" cm="1">
        <f t="array" ref="AV11">_xlfn.IFS(AND(AV9="00",AV10="00"),";H",AND(AV9&lt;&gt;"00",AV10&lt;&gt;"00"),CONCATENATE(AV9,"-",AW10,"(",AW9,"-",AV10,")"),AND(AV9="00",AV10&lt;&gt;"00"),CONCATENATE(AV10,"-",AW10),AND(AV9&lt;&gt;"00",AV10="00"),CONCATENATE(AV9,"-",AW9))</f>
        <v>#REF!</v>
      </c>
      <c r="AW11" s="105"/>
      <c r="AX11" s="104" t="e" cm="1">
        <f t="array" ref="AX11">_xlfn.IFS(AND(AX9="00",AX10="00"),";H",AND(AX9&lt;&gt;"00",AX10&lt;&gt;"00"),CONCATENATE(AX9,"-",AY10,"(",AY9,"-",AX10,")"),AND(AX9="00",AX10&lt;&gt;"00"),CONCATENATE(AX10,"-",AY10),AND(AX9&lt;&gt;"00",AX10="00"),CONCATENATE(AX9,"-",AY9))</f>
        <v>#REF!</v>
      </c>
      <c r="AY11" s="105"/>
      <c r="AZ11" s="104" t="e" cm="1">
        <f t="array" ref="AZ11">_xlfn.IFS(AND(AZ9="00",AZ10="00"),";H",AND(AZ9&lt;&gt;"00",AZ10&lt;&gt;"00"),CONCATENATE(AZ9,"-",BA10,"(",BA9,"-",AZ10,")"),AND(AZ9="00",AZ10&lt;&gt;"00"),CONCATENATE(AZ10,"-",BA10),AND(AZ9&lt;&gt;"00",AZ10="00"),CONCATENATE(AZ9,"-",BA9))</f>
        <v>#REF!</v>
      </c>
      <c r="BA11" s="105"/>
      <c r="BB11" s="104" t="e" cm="1">
        <f t="array" ref="BB11">_xlfn.IFS(AND(BB9="00",BB10="00"),";H",AND(BB9&lt;&gt;"00",BB10&lt;&gt;"00"),CONCATENATE(BB9,"-",BC10,"(",BC9,"-",BB10,")"),AND(BB9="00",BB10&lt;&gt;"00"),CONCATENATE(BB10,"-",BC10),AND(BB9&lt;&gt;"00",BB10="00"),CONCATENATE(BB9,"-",BC9))</f>
        <v>#REF!</v>
      </c>
      <c r="BC11" s="105"/>
      <c r="BD11" s="104" t="e" cm="1">
        <f t="array" ref="BD11">_xlfn.IFS(AND(BD9="00",BD10="00"),";H",AND(BD9&lt;&gt;"00",BD10&lt;&gt;"00"),CONCATENATE(BD9,"-",BE10,"(",BE9,"-",BD10,")"),AND(BD9="00",BD10&lt;&gt;"00"),CONCATENATE(BD10,"-",BE10),AND(BD9&lt;&gt;"00",BD10="00"),CONCATENATE(BD9,"-",BE9))</f>
        <v>#REF!</v>
      </c>
      <c r="BE11" s="105"/>
      <c r="BF11" s="104" t="e" cm="1">
        <f t="array" ref="BF11">_xlfn.IFS(AND(BF9="00",BF10="00"),";H",AND(BF9&lt;&gt;"00",BF10&lt;&gt;"00"),CONCATENATE(BF9,"-",BG10,"(",BG9,"-",BF10,")"),AND(BF9="00",BF10&lt;&gt;"00"),CONCATENATE(BF10,"-",BG10),AND(BF9&lt;&gt;"00",BF10="00"),CONCATENATE(BF9,"-",BG9))</f>
        <v>#REF!</v>
      </c>
      <c r="BG11" s="105"/>
      <c r="BH11" s="104" t="e" cm="1">
        <f t="array" ref="BH11">_xlfn.IFS(AND(BH9="00",BH10="00"),";H",AND(BH9&lt;&gt;"00",BH10&lt;&gt;"00"),CONCATENATE(BH9,"-",BI10,"(",BI9,"-",BH10,")"),AND(BH9="00",BH10&lt;&gt;"00"),CONCATENATE(BH10,"-",BI10),AND(BH9&lt;&gt;"00",BH10="00"),CONCATENATE(BH9,"-",BI9))</f>
        <v>#REF!</v>
      </c>
      <c r="BI11" s="105"/>
      <c r="BJ11" s="104" t="e" cm="1">
        <f t="array" ref="BJ11">_xlfn.IFS(AND(BJ9="00",BJ10="00"),";H",AND(BJ9&lt;&gt;"00",BJ10&lt;&gt;"00"),CONCATENATE(BJ9,"-",BK10,"(",BK9,"-",BJ10,")"),AND(BJ9="00",BJ10&lt;&gt;"00"),CONCATENATE(BJ10,"-",BK10),AND(BJ9&lt;&gt;"00",BJ10="00"),CONCATENATE(BJ9,"-",BK9))</f>
        <v>#REF!</v>
      </c>
      <c r="BK11" s="105"/>
      <c r="BL11" s="104" t="e" cm="1">
        <f t="array" ref="BL11">_xlfn.IFS(AND(BL9="00",BL10="00"),";H",AND(BL9&lt;&gt;"00",BL10&lt;&gt;"00"),CONCATENATE(BL9,"-",BM10,"(",BM9,"-",BL10,")"),AND(BL9="00",BL10&lt;&gt;"00"),CONCATENATE(BL10,"-",BM10),AND(BL9&lt;&gt;"00",BL10="00"),CONCATENATE(BL9,"-",BM9))</f>
        <v>#REF!</v>
      </c>
      <c r="BM11" s="105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</row>
    <row r="12" spans="1:81" ht="15" thickBot="1">
      <c r="A12" s="83"/>
      <c r="B12" s="145" t="e">
        <f>#REF!</f>
        <v>#REF!</v>
      </c>
      <c r="C12" s="93"/>
      <c r="D12" s="23" t="e">
        <f>IF(MOD(#REF!,1)=0,CONCATENATE(#REF!,"00"),CONCATENATE(INT(#REF!),"30"))</f>
        <v>#REF!</v>
      </c>
      <c r="E12" s="24" t="e">
        <f>IF(MOD(#REF!,1)=0,CONCATENATE(#REF!,"00"),CONCATENATE(INT(#REF!),"30"))</f>
        <v>#REF!</v>
      </c>
      <c r="F12" s="23" t="e">
        <f>IF(MOD(#REF!,1)=0,CONCATENATE(#REF!,"00"),CONCATENATE(INT(#REF!),"30"))</f>
        <v>#REF!</v>
      </c>
      <c r="G12" s="24" t="e">
        <f>IF(MOD(#REF!,1)=0,CONCATENATE(#REF!,"00"),CONCATENATE(INT(#REF!),"30"))</f>
        <v>#REF!</v>
      </c>
      <c r="H12" s="23" t="e">
        <f>IF(MOD(#REF!,1)=0,CONCATENATE(#REF!,"00"),CONCATENATE(INT(#REF!),"30"))</f>
        <v>#REF!</v>
      </c>
      <c r="I12" s="24" t="e">
        <f>IF(MOD(#REF!,1)=0,CONCATENATE(#REF!,"00"),CONCATENATE(INT(#REF!),"30"))</f>
        <v>#REF!</v>
      </c>
      <c r="J12" s="23" t="e">
        <f>IF(MOD(#REF!,1)=0,CONCATENATE(#REF!,"00"),CONCATENATE(INT(#REF!),"30"))</f>
        <v>#REF!</v>
      </c>
      <c r="K12" s="24" t="e">
        <f>IF(MOD(#REF!,1)=0,CONCATENATE(#REF!,"00"),CONCATENATE(INT(#REF!),"30"))</f>
        <v>#REF!</v>
      </c>
      <c r="L12" s="23" t="e">
        <f>IF(MOD(#REF!,1)=0,CONCATENATE(#REF!,"00"),CONCATENATE(INT(#REF!),"30"))</f>
        <v>#REF!</v>
      </c>
      <c r="M12" s="24" t="e">
        <f>IF(MOD(#REF!,1)=0,CONCATENATE(#REF!,"00"),CONCATENATE(INT(#REF!),"30"))</f>
        <v>#REF!</v>
      </c>
      <c r="N12" s="23" t="e">
        <f>IF(MOD(#REF!,1)=0,CONCATENATE(#REF!,"00"),CONCATENATE(INT(#REF!),"30"))</f>
        <v>#REF!</v>
      </c>
      <c r="O12" s="24" t="e">
        <f>IF(MOD(#REF!,1)=0,CONCATENATE(#REF!,"00"),CONCATENATE(INT(#REF!),"30"))</f>
        <v>#REF!</v>
      </c>
      <c r="P12" s="23" t="e">
        <f>IF(MOD(#REF!,1)=0,CONCATENATE(#REF!,"00"),CONCATENATE(INT(#REF!),"30"))</f>
        <v>#REF!</v>
      </c>
      <c r="Q12" s="24" t="e">
        <f>IF(MOD(#REF!,1)=0,CONCATENATE(#REF!,"00"),CONCATENATE(INT(#REF!),"30"))</f>
        <v>#REF!</v>
      </c>
      <c r="R12" s="23" t="e">
        <f>IF(MOD(#REF!,1)=0,CONCATENATE(#REF!,"00"),CONCATENATE(INT(#REF!),"30"))</f>
        <v>#REF!</v>
      </c>
      <c r="S12" s="24" t="e">
        <f>IF(MOD(#REF!,1)=0,CONCATENATE(#REF!,"00"),CONCATENATE(INT(#REF!),"30"))</f>
        <v>#REF!</v>
      </c>
      <c r="T12" s="23" t="e">
        <f>IF(MOD(#REF!,1)=0,CONCATENATE(#REF!,"00"),CONCATENATE(INT(#REF!),"30"))</f>
        <v>#REF!</v>
      </c>
      <c r="U12" s="24" t="e">
        <f>IF(MOD(#REF!,1)=0,CONCATENATE(#REF!,"00"),CONCATENATE(INT(#REF!),"30"))</f>
        <v>#REF!</v>
      </c>
      <c r="V12" s="23" t="e">
        <f>IF(MOD(#REF!,1)=0,CONCATENATE(#REF!,"00"),CONCATENATE(INT(#REF!),"30"))</f>
        <v>#REF!</v>
      </c>
      <c r="W12" s="24" t="e">
        <f>IF(MOD(#REF!,1)=0,CONCATENATE(#REF!,"00"),CONCATENATE(INT(#REF!),"30"))</f>
        <v>#REF!</v>
      </c>
      <c r="X12" s="23" t="e">
        <f>IF(MOD(#REF!,1)=0,CONCATENATE(#REF!,"00"),CONCATENATE(INT(#REF!),"30"))</f>
        <v>#REF!</v>
      </c>
      <c r="Y12" s="24" t="e">
        <f>IF(MOD(#REF!,1)=0,CONCATENATE(#REF!,"00"),CONCATENATE(INT(#REF!),"30"))</f>
        <v>#REF!</v>
      </c>
      <c r="Z12" s="23" t="e">
        <f>IF(MOD(#REF!,1)=0,CONCATENATE(#REF!,"00"),CONCATENATE(INT(#REF!),"30"))</f>
        <v>#REF!</v>
      </c>
      <c r="AA12" s="24" t="e">
        <f>IF(MOD(#REF!,1)=0,CONCATENATE(#REF!,"00"),CONCATENATE(INT(#REF!),"30"))</f>
        <v>#REF!</v>
      </c>
      <c r="AB12" s="23" t="e">
        <f>IF(MOD(#REF!,1)=0,CONCATENATE(#REF!,"00"),CONCATENATE(INT(#REF!),"30"))</f>
        <v>#REF!</v>
      </c>
      <c r="AC12" s="24" t="e">
        <f>IF(MOD(#REF!,1)=0,CONCATENATE(#REF!,"00"),CONCATENATE(INT(#REF!),"30"))</f>
        <v>#REF!</v>
      </c>
      <c r="AD12" s="23" t="e">
        <f>IF(MOD(#REF!,1)=0,CONCATENATE(#REF!,"00"),CONCATENATE(INT(#REF!),"30"))</f>
        <v>#REF!</v>
      </c>
      <c r="AE12" s="24" t="e">
        <f>IF(MOD(#REF!,1)=0,CONCATENATE(#REF!,"00"),CONCATENATE(INT(#REF!),"30"))</f>
        <v>#REF!</v>
      </c>
      <c r="AF12" s="23" t="e">
        <f>IF(MOD(#REF!,1)=0,CONCATENATE(#REF!,"00"),CONCATENATE(INT(#REF!),"30"))</f>
        <v>#REF!</v>
      </c>
      <c r="AG12" s="24" t="e">
        <f>IF(MOD(#REF!,1)=0,CONCATENATE(#REF!,"00"),CONCATENATE(INT(#REF!),"30"))</f>
        <v>#REF!</v>
      </c>
      <c r="AH12" s="23" t="e">
        <f>IF(MOD(#REF!,1)=0,CONCATENATE(#REF!,"00"),CONCATENATE(INT(#REF!),"30"))</f>
        <v>#REF!</v>
      </c>
      <c r="AI12" s="24" t="e">
        <f>IF(MOD(#REF!,1)=0,CONCATENATE(#REF!,"00"),CONCATENATE(INT(#REF!),"30"))</f>
        <v>#REF!</v>
      </c>
      <c r="AJ12" s="23" t="e">
        <f>IF(MOD(#REF!,1)=0,CONCATENATE(#REF!,"00"),CONCATENATE(INT(#REF!),"30"))</f>
        <v>#REF!</v>
      </c>
      <c r="AK12" s="24" t="e">
        <f>IF(MOD(#REF!,1)=0,CONCATENATE(#REF!,"00"),CONCATENATE(INT(#REF!),"30"))</f>
        <v>#REF!</v>
      </c>
      <c r="AL12" s="23" t="e">
        <f>IF(MOD(#REF!,1)=0,CONCATENATE(#REF!,"00"),CONCATENATE(INT(#REF!),"30"))</f>
        <v>#REF!</v>
      </c>
      <c r="AM12" s="24" t="e">
        <f>IF(MOD(#REF!,1)=0,CONCATENATE(#REF!,"00"),CONCATENATE(INT(#REF!),"30"))</f>
        <v>#REF!</v>
      </c>
      <c r="AN12" s="23" t="e">
        <f>IF(MOD(#REF!,1)=0,CONCATENATE(#REF!,"00"),CONCATENATE(INT(#REF!),"30"))</f>
        <v>#REF!</v>
      </c>
      <c r="AO12" s="24" t="e">
        <f>IF(MOD(#REF!,1)=0,CONCATENATE(#REF!,"00"),CONCATENATE(INT(#REF!),"30"))</f>
        <v>#REF!</v>
      </c>
      <c r="AP12" s="23" t="e">
        <f>IF(MOD(#REF!,1)=0,CONCATENATE(#REF!,"00"),CONCATENATE(INT(#REF!),"30"))</f>
        <v>#REF!</v>
      </c>
      <c r="AQ12" s="24" t="e">
        <f>IF(MOD(#REF!,1)=0,CONCATENATE(#REF!,"00"),CONCATENATE(INT(#REF!),"30"))</f>
        <v>#REF!</v>
      </c>
      <c r="AR12" s="23" t="e">
        <f>IF(MOD(#REF!,1)=0,CONCATENATE(#REF!,"00"),CONCATENATE(INT(#REF!),"30"))</f>
        <v>#REF!</v>
      </c>
      <c r="AS12" s="24" t="e">
        <f>IF(MOD(#REF!,1)=0,CONCATENATE(#REF!,"00"),CONCATENATE(INT(#REF!),"30"))</f>
        <v>#REF!</v>
      </c>
      <c r="AT12" s="23" t="e">
        <f>IF(MOD(#REF!,1)=0,CONCATENATE(#REF!,"00"),CONCATENATE(INT(#REF!),"30"))</f>
        <v>#REF!</v>
      </c>
      <c r="AU12" s="24" t="e">
        <f>IF(MOD(#REF!,1)=0,CONCATENATE(#REF!,"00"),CONCATENATE(INT(#REF!),"30"))</f>
        <v>#REF!</v>
      </c>
      <c r="AV12" s="23" t="e">
        <f>IF(MOD(#REF!,1)=0,CONCATENATE(#REF!,"00"),CONCATENATE(INT(#REF!),"30"))</f>
        <v>#REF!</v>
      </c>
      <c r="AW12" s="24" t="e">
        <f>IF(MOD(#REF!,1)=0,CONCATENATE(#REF!,"00"),CONCATENATE(INT(#REF!),"30"))</f>
        <v>#REF!</v>
      </c>
      <c r="AX12" s="23" t="e">
        <f>IF(MOD(#REF!,1)=0,CONCATENATE(#REF!,"00"),CONCATENATE(INT(#REF!),"30"))</f>
        <v>#REF!</v>
      </c>
      <c r="AY12" s="24" t="e">
        <f>IF(MOD(#REF!,1)=0,CONCATENATE(#REF!,"00"),CONCATENATE(INT(#REF!),"30"))</f>
        <v>#REF!</v>
      </c>
      <c r="AZ12" s="23" t="e">
        <f>IF(MOD(#REF!,1)=0,CONCATENATE(#REF!,"00"),CONCATENATE(INT(#REF!),"30"))</f>
        <v>#REF!</v>
      </c>
      <c r="BA12" s="24" t="e">
        <f>IF(MOD(#REF!,1)=0,CONCATENATE(#REF!,"00"),CONCATENATE(INT(#REF!),"30"))</f>
        <v>#REF!</v>
      </c>
      <c r="BB12" s="23" t="e">
        <f>IF(MOD(#REF!,1)=0,CONCATENATE(#REF!,"00"),CONCATENATE(INT(#REF!),"30"))</f>
        <v>#REF!</v>
      </c>
      <c r="BC12" s="24" t="e">
        <f>IF(MOD(#REF!,1)=0,CONCATENATE(#REF!,"00"),CONCATENATE(INT(#REF!),"30"))</f>
        <v>#REF!</v>
      </c>
      <c r="BD12" s="23" t="e">
        <f>IF(MOD(#REF!,1)=0,CONCATENATE(#REF!,"00"),CONCATENATE(INT(#REF!),"30"))</f>
        <v>#REF!</v>
      </c>
      <c r="BE12" s="24" t="e">
        <f>IF(MOD(#REF!,1)=0,CONCATENATE(#REF!,"00"),CONCATENATE(INT(#REF!),"30"))</f>
        <v>#REF!</v>
      </c>
      <c r="BF12" s="23" t="e">
        <f>IF(MOD(#REF!,1)=0,CONCATENATE(#REF!,"00"),CONCATENATE(INT(#REF!),"30"))</f>
        <v>#REF!</v>
      </c>
      <c r="BG12" s="24" t="e">
        <f>IF(MOD(#REF!,1)=0,CONCATENATE(#REF!,"00"),CONCATENATE(INT(#REF!),"30"))</f>
        <v>#REF!</v>
      </c>
      <c r="BH12" s="23" t="e">
        <f>IF(MOD(#REF!,1)=0,CONCATENATE(#REF!,"00"),CONCATENATE(INT(#REF!),"30"))</f>
        <v>#REF!</v>
      </c>
      <c r="BI12" s="24" t="e">
        <f>IF(MOD(#REF!,1)=0,CONCATENATE(#REF!,"00"),CONCATENATE(INT(#REF!),"30"))</f>
        <v>#REF!</v>
      </c>
      <c r="BJ12" s="23" t="e">
        <f>IF(MOD(#REF!,1)=0,CONCATENATE(#REF!,"00"),CONCATENATE(INT(#REF!),"30"))</f>
        <v>#REF!</v>
      </c>
      <c r="BK12" s="24" t="e">
        <f>IF(MOD(#REF!,1)=0,CONCATENATE(#REF!,"00"),CONCATENATE(INT(#REF!),"30"))</f>
        <v>#REF!</v>
      </c>
      <c r="BL12" s="23" t="e">
        <f>IF(MOD(#REF!,1)=0,CONCATENATE(#REF!,"00"),CONCATENATE(INT(#REF!),"30"))</f>
        <v>#REF!</v>
      </c>
      <c r="BM12" s="24" t="e">
        <f>IF(MOD(#REF!,1)=0,CONCATENATE(#REF!,"00"),CONCATENATE(INT(#REF!),"30"))</f>
        <v>#REF!</v>
      </c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ht="15" thickBot="1">
      <c r="A13" s="84"/>
      <c r="B13" s="86"/>
      <c r="C13" s="94"/>
      <c r="D13" s="25" t="e">
        <f>IF(MOD(#REF!,1)=0,CONCATENATE(#REF!,"00"),CONCATENATE(INT(#REF!),"30"))</f>
        <v>#REF!</v>
      </c>
      <c r="E13" s="26" t="e">
        <f>IF(MOD(#REF!,1)=0,CONCATENATE(#REF!,"00"),CONCATENATE(INT(#REF!),"30"))</f>
        <v>#REF!</v>
      </c>
      <c r="F13" s="25" t="e">
        <f>IF(MOD(#REF!,1)=0,CONCATENATE(#REF!,"00"),CONCATENATE(INT(#REF!),"30"))</f>
        <v>#REF!</v>
      </c>
      <c r="G13" s="26" t="e">
        <f>IF(MOD(#REF!,1)=0,CONCATENATE(#REF!,"00"),CONCATENATE(INT(#REF!),"30"))</f>
        <v>#REF!</v>
      </c>
      <c r="H13" s="25" t="e">
        <f>IF(MOD(#REF!,1)=0,CONCATENATE(#REF!,"00"),CONCATENATE(INT(#REF!),"30"))</f>
        <v>#REF!</v>
      </c>
      <c r="I13" s="26" t="e">
        <f>IF(MOD(#REF!,1)=0,CONCATENATE(#REF!,"00"),CONCATENATE(INT(#REF!),"30"))</f>
        <v>#REF!</v>
      </c>
      <c r="J13" s="25" t="e">
        <f>IF(MOD(#REF!,1)=0,CONCATENATE(#REF!,"00"),CONCATENATE(INT(#REF!),"30"))</f>
        <v>#REF!</v>
      </c>
      <c r="K13" s="26" t="e">
        <f>IF(MOD(#REF!,1)=0,CONCATENATE(#REF!,"00"),CONCATENATE(INT(#REF!),"30"))</f>
        <v>#REF!</v>
      </c>
      <c r="L13" s="25" t="e">
        <f>IF(MOD(#REF!,1)=0,CONCATENATE(#REF!,"00"),CONCATENATE(INT(#REF!),"30"))</f>
        <v>#REF!</v>
      </c>
      <c r="M13" s="26" t="e">
        <f>IF(MOD(#REF!,1)=0,CONCATENATE(#REF!,"00"),CONCATENATE(INT(#REF!),"30"))</f>
        <v>#REF!</v>
      </c>
      <c r="N13" s="25" t="e">
        <f>IF(MOD(#REF!,1)=0,CONCATENATE(#REF!,"00"),CONCATENATE(INT(#REF!),"30"))</f>
        <v>#REF!</v>
      </c>
      <c r="O13" s="26" t="e">
        <f>IF(MOD(#REF!,1)=0,CONCATENATE(#REF!,"00"),CONCATENATE(INT(#REF!),"30"))</f>
        <v>#REF!</v>
      </c>
      <c r="P13" s="25" t="e">
        <f>IF(MOD(#REF!,1)=0,CONCATENATE(#REF!,"00"),CONCATENATE(INT(#REF!),"30"))</f>
        <v>#REF!</v>
      </c>
      <c r="Q13" s="26" t="e">
        <f>IF(MOD(#REF!,1)=0,CONCATENATE(#REF!,"00"),CONCATENATE(INT(#REF!),"30"))</f>
        <v>#REF!</v>
      </c>
      <c r="R13" s="25" t="e">
        <f>IF(MOD(#REF!,1)=0,CONCATENATE(#REF!,"00"),CONCATENATE(INT(#REF!),"30"))</f>
        <v>#REF!</v>
      </c>
      <c r="S13" s="26" t="e">
        <f>IF(MOD(#REF!,1)=0,CONCATENATE(#REF!,"00"),CONCATENATE(INT(#REF!),"30"))</f>
        <v>#REF!</v>
      </c>
      <c r="T13" s="25" t="e">
        <f>IF(MOD(#REF!,1)=0,CONCATENATE(#REF!,"00"),CONCATENATE(INT(#REF!),"30"))</f>
        <v>#REF!</v>
      </c>
      <c r="U13" s="26" t="e">
        <f>IF(MOD(#REF!,1)=0,CONCATENATE(#REF!,"00"),CONCATENATE(INT(#REF!),"30"))</f>
        <v>#REF!</v>
      </c>
      <c r="V13" s="25" t="e">
        <f>IF(MOD(#REF!,1)=0,CONCATENATE(#REF!,"00"),CONCATENATE(INT(#REF!),"30"))</f>
        <v>#REF!</v>
      </c>
      <c r="W13" s="26" t="e">
        <f>IF(MOD(#REF!,1)=0,CONCATENATE(#REF!,"00"),CONCATENATE(INT(#REF!),"30"))</f>
        <v>#REF!</v>
      </c>
      <c r="X13" s="25" t="e">
        <f>IF(MOD(#REF!,1)=0,CONCATENATE(#REF!,"00"),CONCATENATE(INT(#REF!),"30"))</f>
        <v>#REF!</v>
      </c>
      <c r="Y13" s="26" t="e">
        <f>IF(MOD(#REF!,1)=0,CONCATENATE(#REF!,"00"),CONCATENATE(INT(#REF!),"30"))</f>
        <v>#REF!</v>
      </c>
      <c r="Z13" s="25" t="e">
        <f>IF(MOD(#REF!,1)=0,CONCATENATE(#REF!,"00"),CONCATENATE(INT(#REF!),"30"))</f>
        <v>#REF!</v>
      </c>
      <c r="AA13" s="26" t="e">
        <f>IF(MOD(#REF!,1)=0,CONCATENATE(#REF!,"00"),CONCATENATE(INT(#REF!),"30"))</f>
        <v>#REF!</v>
      </c>
      <c r="AB13" s="25" t="e">
        <f>IF(MOD(#REF!,1)=0,CONCATENATE(#REF!,"00"),CONCATENATE(INT(#REF!),"30"))</f>
        <v>#REF!</v>
      </c>
      <c r="AC13" s="26" t="e">
        <f>IF(MOD(#REF!,1)=0,CONCATENATE(#REF!,"00"),CONCATENATE(INT(#REF!),"30"))</f>
        <v>#REF!</v>
      </c>
      <c r="AD13" s="25" t="e">
        <f>IF(MOD(#REF!,1)=0,CONCATENATE(#REF!,"00"),CONCATENATE(INT(#REF!),"30"))</f>
        <v>#REF!</v>
      </c>
      <c r="AE13" s="26" t="e">
        <f>IF(MOD(#REF!,1)=0,CONCATENATE(#REF!,"00"),CONCATENATE(INT(#REF!),"30"))</f>
        <v>#REF!</v>
      </c>
      <c r="AF13" s="25" t="e">
        <f>IF(MOD(#REF!,1)=0,CONCATENATE(#REF!,"00"),CONCATENATE(INT(#REF!),"30"))</f>
        <v>#REF!</v>
      </c>
      <c r="AG13" s="26" t="e">
        <f>IF(MOD(#REF!,1)=0,CONCATENATE(#REF!,"00"),CONCATENATE(INT(#REF!),"30"))</f>
        <v>#REF!</v>
      </c>
      <c r="AH13" s="25" t="e">
        <f>IF(MOD(#REF!,1)=0,CONCATENATE(#REF!,"00"),CONCATENATE(INT(#REF!),"30"))</f>
        <v>#REF!</v>
      </c>
      <c r="AI13" s="26" t="e">
        <f>IF(MOD(#REF!,1)=0,CONCATENATE(#REF!,"00"),CONCATENATE(INT(#REF!),"30"))</f>
        <v>#REF!</v>
      </c>
      <c r="AJ13" s="25" t="e">
        <f>IF(MOD(#REF!,1)=0,CONCATENATE(#REF!,"00"),CONCATENATE(INT(#REF!),"30"))</f>
        <v>#REF!</v>
      </c>
      <c r="AK13" s="26" t="e">
        <f>IF(MOD(#REF!,1)=0,CONCATENATE(#REF!,"00"),CONCATENATE(INT(#REF!),"30"))</f>
        <v>#REF!</v>
      </c>
      <c r="AL13" s="25" t="e">
        <f>IF(MOD(#REF!,1)=0,CONCATENATE(#REF!,"00"),CONCATENATE(INT(#REF!),"30"))</f>
        <v>#REF!</v>
      </c>
      <c r="AM13" s="26" t="e">
        <f>IF(MOD(#REF!,1)=0,CONCATENATE(#REF!,"00"),CONCATENATE(INT(#REF!),"30"))</f>
        <v>#REF!</v>
      </c>
      <c r="AN13" s="25" t="e">
        <f>IF(MOD(#REF!,1)=0,CONCATENATE(#REF!,"00"),CONCATENATE(INT(#REF!),"30"))</f>
        <v>#REF!</v>
      </c>
      <c r="AO13" s="26" t="e">
        <f>IF(MOD(#REF!,1)=0,CONCATENATE(#REF!,"00"),CONCATENATE(INT(#REF!),"30"))</f>
        <v>#REF!</v>
      </c>
      <c r="AP13" s="25" t="e">
        <f>IF(MOD(#REF!,1)=0,CONCATENATE(#REF!,"00"),CONCATENATE(INT(#REF!),"30"))</f>
        <v>#REF!</v>
      </c>
      <c r="AQ13" s="26" t="e">
        <f>IF(MOD(#REF!,1)=0,CONCATENATE(#REF!,"00"),CONCATENATE(INT(#REF!),"30"))</f>
        <v>#REF!</v>
      </c>
      <c r="AR13" s="25" t="e">
        <f>IF(MOD(#REF!,1)=0,CONCATENATE(#REF!,"00"),CONCATENATE(INT(#REF!),"30"))</f>
        <v>#REF!</v>
      </c>
      <c r="AS13" s="26" t="e">
        <f>IF(MOD(#REF!,1)=0,CONCATENATE(#REF!,"00"),CONCATENATE(INT(#REF!),"30"))</f>
        <v>#REF!</v>
      </c>
      <c r="AT13" s="25" t="e">
        <f>IF(MOD(#REF!,1)=0,CONCATENATE(#REF!,"00"),CONCATENATE(INT(#REF!),"30"))</f>
        <v>#REF!</v>
      </c>
      <c r="AU13" s="26" t="e">
        <f>IF(MOD(#REF!,1)=0,CONCATENATE(#REF!,"00"),CONCATENATE(INT(#REF!),"30"))</f>
        <v>#REF!</v>
      </c>
      <c r="AV13" s="25" t="e">
        <f>IF(MOD(#REF!,1)=0,CONCATENATE(#REF!,"00"),CONCATENATE(INT(#REF!),"30"))</f>
        <v>#REF!</v>
      </c>
      <c r="AW13" s="26" t="e">
        <f>IF(MOD(#REF!,1)=0,CONCATENATE(#REF!,"00"),CONCATENATE(INT(#REF!),"30"))</f>
        <v>#REF!</v>
      </c>
      <c r="AX13" s="25" t="e">
        <f>IF(MOD(#REF!,1)=0,CONCATENATE(#REF!,"00"),CONCATENATE(INT(#REF!),"30"))</f>
        <v>#REF!</v>
      </c>
      <c r="AY13" s="26" t="e">
        <f>IF(MOD(#REF!,1)=0,CONCATENATE(#REF!,"00"),CONCATENATE(INT(#REF!),"30"))</f>
        <v>#REF!</v>
      </c>
      <c r="AZ13" s="25" t="e">
        <f>IF(MOD(#REF!,1)=0,CONCATENATE(#REF!,"00"),CONCATENATE(INT(#REF!),"30"))</f>
        <v>#REF!</v>
      </c>
      <c r="BA13" s="26" t="e">
        <f>IF(MOD(#REF!,1)=0,CONCATENATE(#REF!,"00"),CONCATENATE(INT(#REF!),"30"))</f>
        <v>#REF!</v>
      </c>
      <c r="BB13" s="25" t="e">
        <f>IF(MOD(#REF!,1)=0,CONCATENATE(#REF!,"00"),CONCATENATE(INT(#REF!),"30"))</f>
        <v>#REF!</v>
      </c>
      <c r="BC13" s="26" t="e">
        <f>IF(MOD(#REF!,1)=0,CONCATENATE(#REF!,"00"),CONCATENATE(INT(#REF!),"30"))</f>
        <v>#REF!</v>
      </c>
      <c r="BD13" s="25" t="e">
        <f>IF(MOD(#REF!,1)=0,CONCATENATE(#REF!,"00"),CONCATENATE(INT(#REF!),"30"))</f>
        <v>#REF!</v>
      </c>
      <c r="BE13" s="26" t="e">
        <f>IF(MOD(#REF!,1)=0,CONCATENATE(#REF!,"00"),CONCATENATE(INT(#REF!),"30"))</f>
        <v>#REF!</v>
      </c>
      <c r="BF13" s="25" t="e">
        <f>IF(MOD(#REF!,1)=0,CONCATENATE(#REF!,"00"),CONCATENATE(INT(#REF!),"30"))</f>
        <v>#REF!</v>
      </c>
      <c r="BG13" s="26" t="e">
        <f>IF(MOD(#REF!,1)=0,CONCATENATE(#REF!,"00"),CONCATENATE(INT(#REF!),"30"))</f>
        <v>#REF!</v>
      </c>
      <c r="BH13" s="25" t="e">
        <f>IF(MOD(#REF!,1)=0,CONCATENATE(#REF!,"00"),CONCATENATE(INT(#REF!),"30"))</f>
        <v>#REF!</v>
      </c>
      <c r="BI13" s="26" t="e">
        <f>IF(MOD(#REF!,1)=0,CONCATENATE(#REF!,"00"),CONCATENATE(INT(#REF!),"30"))</f>
        <v>#REF!</v>
      </c>
      <c r="BJ13" s="25" t="e">
        <f>IF(MOD(#REF!,1)=0,CONCATENATE(#REF!,"00"),CONCATENATE(INT(#REF!),"30"))</f>
        <v>#REF!</v>
      </c>
      <c r="BK13" s="26" t="e">
        <f>IF(MOD(#REF!,1)=0,CONCATENATE(#REF!,"00"),CONCATENATE(INT(#REF!),"30"))</f>
        <v>#REF!</v>
      </c>
      <c r="BL13" s="25" t="e">
        <f>IF(MOD(#REF!,1)=0,CONCATENATE(#REF!,"00"),CONCATENATE(INT(#REF!),"30"))</f>
        <v>#REF!</v>
      </c>
      <c r="BM13" s="26" t="e">
        <f>IF(MOD(#REF!,1)=0,CONCATENATE(#REF!,"00"),CONCATENATE(INT(#REF!),"30"))</f>
        <v>#REF!</v>
      </c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</row>
    <row r="14" spans="1:81" ht="40" customHeight="1" thickBot="1">
      <c r="A14" s="47"/>
      <c r="B14" s="84"/>
      <c r="C14" s="95"/>
      <c r="D14" s="104" t="e" cm="1">
        <f t="array" ref="D14">_xlfn.IFS(AND(D12="00",D13="00"),";H",AND(D12&lt;&gt;"00",D13&lt;&gt;"00"),CONCATENATE(D12,"-",E13,"(",E12,"-",D13,")"),AND(D12="00",D13&lt;&gt;"00"),CONCATENATE(D13,"-",E13),AND(D12&lt;&gt;"00",D13="00"),CONCATENATE(D12,"-",E12))</f>
        <v>#REF!</v>
      </c>
      <c r="E14" s="105"/>
      <c r="F14" s="104" t="e" cm="1">
        <f t="array" ref="F14">_xlfn.IFS(AND(F12="00",F13="00"),";H",AND(F12&lt;&gt;"00",F13&lt;&gt;"00"),CONCATENATE(F12,"-",G13,"(",G12,"-",F13,")"),AND(F12="00",F13&lt;&gt;"00"),CONCATENATE(F13,"-",G13),AND(F12&lt;&gt;"00",F13="00"),CONCATENATE(F12,"-",G12))</f>
        <v>#REF!</v>
      </c>
      <c r="G14" s="105"/>
      <c r="H14" s="104" t="e" cm="1">
        <f t="array" ref="H14">_xlfn.IFS(AND(H12="00",H13="00"),";H",AND(H12&lt;&gt;"00",H13&lt;&gt;"00"),CONCATENATE(H12,"-",I13,"(",I12,"-",H13,")"),AND(H12="00",H13&lt;&gt;"00"),CONCATENATE(H13,"-",I13),AND(H12&lt;&gt;"00",H13="00"),CONCATENATE(H12,"-",I12))</f>
        <v>#REF!</v>
      </c>
      <c r="I14" s="105"/>
      <c r="J14" s="104" t="e" cm="1">
        <f t="array" ref="J14">_xlfn.IFS(AND(J12="00",J13="00"),";H",AND(J12&lt;&gt;"00",J13&lt;&gt;"00"),CONCATENATE(J12,"-",K13,"(",K12,"-",J13,")"),AND(J12="00",J13&lt;&gt;"00"),CONCATENATE(J13,"-",K13),AND(J12&lt;&gt;"00",J13="00"),CONCATENATE(J12,"-",K12))</f>
        <v>#REF!</v>
      </c>
      <c r="K14" s="105"/>
      <c r="L14" s="104" t="e" cm="1">
        <f t="array" ref="L14">_xlfn.IFS(AND(L12="00",L13="00"),";H",AND(L12&lt;&gt;"00",L13&lt;&gt;"00"),CONCATENATE(L12,"-",M13,"(",M12,"-",L13,")"),AND(L12="00",L13&lt;&gt;"00"),CONCATENATE(L13,"-",M13),AND(L12&lt;&gt;"00",L13="00"),CONCATENATE(L12,"-",M12))</f>
        <v>#REF!</v>
      </c>
      <c r="M14" s="105"/>
      <c r="N14" s="104" t="e" cm="1">
        <f t="array" ref="N14">_xlfn.IFS(AND(N12="00",N13="00"),";H",AND(N12&lt;&gt;"00",N13&lt;&gt;"00"),CONCATENATE(N12,"-",O13,"(",O12,"-",N13,")"),AND(N12="00",N13&lt;&gt;"00"),CONCATENATE(N13,"-",O13),AND(N12&lt;&gt;"00",N13="00"),CONCATENATE(N12,"-",O12))</f>
        <v>#REF!</v>
      </c>
      <c r="O14" s="105"/>
      <c r="P14" s="104" t="e" cm="1">
        <f t="array" ref="P14">_xlfn.IFS(AND(P12="00",P13="00"),";H",AND(P12&lt;&gt;"00",P13&lt;&gt;"00"),CONCATENATE(P12,"-",Q13,"(",Q12,"-",P13,")"),AND(P12="00",P13&lt;&gt;"00"),CONCATENATE(P13,"-",Q13),AND(P12&lt;&gt;"00",P13="00"),CONCATENATE(P12,"-",Q12))</f>
        <v>#REF!</v>
      </c>
      <c r="Q14" s="105"/>
      <c r="R14" s="104" t="e" cm="1">
        <f t="array" ref="R14">_xlfn.IFS(AND(R12="00",R13="00"),";H",AND(R12&lt;&gt;"00",R13&lt;&gt;"00"),CONCATENATE(R12,"-",S13,"(",S12,"-",R13,")"),AND(R12="00",R13&lt;&gt;"00"),CONCATENATE(R13,"-",S13),AND(R12&lt;&gt;"00",R13="00"),CONCATENATE(R12,"-",S12))</f>
        <v>#REF!</v>
      </c>
      <c r="S14" s="105"/>
      <c r="T14" s="104" t="e" cm="1">
        <f t="array" ref="T14">_xlfn.IFS(AND(T12="00",T13="00"),";H",AND(T12&lt;&gt;"00",T13&lt;&gt;"00"),CONCATENATE(T12,"-",U13,"(",U12,"-",T13,")"),AND(T12="00",T13&lt;&gt;"00"),CONCATENATE(T13,"-",U13),AND(T12&lt;&gt;"00",T13="00"),CONCATENATE(T12,"-",U12))</f>
        <v>#REF!</v>
      </c>
      <c r="U14" s="105"/>
      <c r="V14" s="104" t="e" cm="1">
        <f t="array" ref="V14">_xlfn.IFS(AND(V12="00",V13="00"),";H",AND(V12&lt;&gt;"00",V13&lt;&gt;"00"),CONCATENATE(V12,"-",W13,"(",W12,"-",V13,")"),AND(V12="00",V13&lt;&gt;"00"),CONCATENATE(V13,"-",W13),AND(V12&lt;&gt;"00",V13="00"),CONCATENATE(V12,"-",W12))</f>
        <v>#REF!</v>
      </c>
      <c r="W14" s="105"/>
      <c r="X14" s="104" t="e" cm="1">
        <f t="array" ref="X14">_xlfn.IFS(AND(X12="00",X13="00"),";H",AND(X12&lt;&gt;"00",X13&lt;&gt;"00"),CONCATENATE(X12,"-",Y13,"(",Y12,"-",X13,")"),AND(X12="00",X13&lt;&gt;"00"),CONCATENATE(X13,"-",Y13),AND(X12&lt;&gt;"00",X13="00"),CONCATENATE(X12,"-",Y12))</f>
        <v>#REF!</v>
      </c>
      <c r="Y14" s="105"/>
      <c r="Z14" s="104" t="e" cm="1">
        <f t="array" ref="Z14">_xlfn.IFS(AND(Z12="00",Z13="00"),";H",AND(Z12&lt;&gt;"00",Z13&lt;&gt;"00"),CONCATENATE(Z12,"-",AA13,"(",AA12,"-",Z13,")"),AND(Z12="00",Z13&lt;&gt;"00"),CONCATENATE(Z13,"-",AA13),AND(Z12&lt;&gt;"00",Z13="00"),CONCATENATE(Z12,"-",AA12))</f>
        <v>#REF!</v>
      </c>
      <c r="AA14" s="105"/>
      <c r="AB14" s="104" t="e" cm="1">
        <f t="array" ref="AB14">_xlfn.IFS(AND(AB12="00",AB13="00"),";H",AND(AB12&lt;&gt;"00",AB13&lt;&gt;"00"),CONCATENATE(AB12,"-",AC13,"(",AC12,"-",AB13,")"),AND(AB12="00",AB13&lt;&gt;"00"),CONCATENATE(AB13,"-",AC13),AND(AB12&lt;&gt;"00",AB13="00"),CONCATENATE(AB12,"-",AC12))</f>
        <v>#REF!</v>
      </c>
      <c r="AC14" s="105"/>
      <c r="AD14" s="104" t="e" cm="1">
        <f t="array" ref="AD14">_xlfn.IFS(AND(AD12="00",AD13="00"),";H",AND(AD12&lt;&gt;"00",AD13&lt;&gt;"00"),CONCATENATE(AD12,"-",AE13,"(",AE12,"-",AD13,")"),AND(AD12="00",AD13&lt;&gt;"00"),CONCATENATE(AD13,"-",AE13),AND(AD12&lt;&gt;"00",AD13="00"),CONCATENATE(AD12,"-",AE12))</f>
        <v>#REF!</v>
      </c>
      <c r="AE14" s="105"/>
      <c r="AF14" s="104" t="e" cm="1">
        <f t="array" ref="AF14">_xlfn.IFS(AND(AF12="00",AF13="00"),";H",AND(AF12&lt;&gt;"00",AF13&lt;&gt;"00"),CONCATENATE(AF12,"-",AG13,"(",AG12,"-",AF13,")"),AND(AF12="00",AF13&lt;&gt;"00"),CONCATENATE(AF13,"-",AG13),AND(AF12&lt;&gt;"00",AF13="00"),CONCATENATE(AF12,"-",AG12))</f>
        <v>#REF!</v>
      </c>
      <c r="AG14" s="105"/>
      <c r="AH14" s="104" t="e" cm="1">
        <f t="array" ref="AH14">_xlfn.IFS(AND(AH12="00",AH13="00"),";H",AND(AH12&lt;&gt;"00",AH13&lt;&gt;"00"),CONCATENATE(AH12,"-",AI13,"(",AI12,"-",AH13,")"),AND(AH12="00",AH13&lt;&gt;"00"),CONCATENATE(AH13,"-",AI13),AND(AH12&lt;&gt;"00",AH13="00"),CONCATENATE(AH12,"-",AI12))</f>
        <v>#REF!</v>
      </c>
      <c r="AI14" s="105"/>
      <c r="AJ14" s="104" t="e" cm="1">
        <f t="array" ref="AJ14">_xlfn.IFS(AND(AJ12="00",AJ13="00"),";H",AND(AJ12&lt;&gt;"00",AJ13&lt;&gt;"00"),CONCATENATE(AJ12,"-",AK13,"(",AK12,"-",AJ13,")"),AND(AJ12="00",AJ13&lt;&gt;"00"),CONCATENATE(AJ13,"-",AK13),AND(AJ12&lt;&gt;"00",AJ13="00"),CONCATENATE(AJ12,"-",AK12))</f>
        <v>#REF!</v>
      </c>
      <c r="AK14" s="105"/>
      <c r="AL14" s="104" t="e" cm="1">
        <f t="array" ref="AL14">_xlfn.IFS(AND(AL12="00",AL13="00"),";H",AND(AL12&lt;&gt;"00",AL13&lt;&gt;"00"),CONCATENATE(AL12,"-",AM13,"(",AM12,"-",AL13,")"),AND(AL12="00",AL13&lt;&gt;"00"),CONCATENATE(AL13,"-",AM13),AND(AL12&lt;&gt;"00",AL13="00"),CONCATENATE(AL12,"-",AM12))</f>
        <v>#REF!</v>
      </c>
      <c r="AM14" s="105"/>
      <c r="AN14" s="104" t="e" cm="1">
        <f t="array" ref="AN14">_xlfn.IFS(AND(AN12="00",AN13="00"),";H",AND(AN12&lt;&gt;"00",AN13&lt;&gt;"00"),CONCATENATE(AN12,"-",AO13,"(",AO12,"-",AN13,")"),AND(AN12="00",AN13&lt;&gt;"00"),CONCATENATE(AN13,"-",AO13),AND(AN12&lt;&gt;"00",AN13="00"),CONCATENATE(AN12,"-",AO12))</f>
        <v>#REF!</v>
      </c>
      <c r="AO14" s="105"/>
      <c r="AP14" s="104" t="e" cm="1">
        <f t="array" ref="AP14">_xlfn.IFS(AND(AP12="00",AP13="00"),";H",AND(AP12&lt;&gt;"00",AP13&lt;&gt;"00"),CONCATENATE(AP12,"-",AQ13,"(",AQ12,"-",AP13,")"),AND(AP12="00",AP13&lt;&gt;"00"),CONCATENATE(AP13,"-",AQ13),AND(AP12&lt;&gt;"00",AP13="00"),CONCATENATE(AP12,"-",AQ12))</f>
        <v>#REF!</v>
      </c>
      <c r="AQ14" s="105"/>
      <c r="AR14" s="104" t="e" cm="1">
        <f t="array" ref="AR14">_xlfn.IFS(AND(AR12="00",AR13="00"),";H",AND(AR12&lt;&gt;"00",AR13&lt;&gt;"00"),CONCATENATE(AR12,"-",AS13,"(",AS12,"-",AR13,")"),AND(AR12="00",AR13&lt;&gt;"00"),CONCATENATE(AR13,"-",AS13),AND(AR12&lt;&gt;"00",AR13="00"),CONCATENATE(AR12,"-",AS12))</f>
        <v>#REF!</v>
      </c>
      <c r="AS14" s="105"/>
      <c r="AT14" s="104" t="e" cm="1">
        <f t="array" ref="AT14">_xlfn.IFS(AND(AT12="00",AT13="00"),";H",AND(AT12&lt;&gt;"00",AT13&lt;&gt;"00"),CONCATENATE(AT12,"-",AU13,"(",AU12,"-",AT13,")"),AND(AT12="00",AT13&lt;&gt;"00"),CONCATENATE(AT13,"-",AU13),AND(AT12&lt;&gt;"00",AT13="00"),CONCATENATE(AT12,"-",AU12))</f>
        <v>#REF!</v>
      </c>
      <c r="AU14" s="105"/>
      <c r="AV14" s="104" t="e" cm="1">
        <f t="array" ref="AV14">_xlfn.IFS(AND(AV12="00",AV13="00"),";H",AND(AV12&lt;&gt;"00",AV13&lt;&gt;"00"),CONCATENATE(AV12,"-",AW13,"(",AW12,"-",AV13,")"),AND(AV12="00",AV13&lt;&gt;"00"),CONCATENATE(AV13,"-",AW13),AND(AV12&lt;&gt;"00",AV13="00"),CONCATENATE(AV12,"-",AW12))</f>
        <v>#REF!</v>
      </c>
      <c r="AW14" s="105"/>
      <c r="AX14" s="104" t="e" cm="1">
        <f t="array" ref="AX14">_xlfn.IFS(AND(AX12="00",AX13="00"),";H",AND(AX12&lt;&gt;"00",AX13&lt;&gt;"00"),CONCATENATE(AX12,"-",AY13,"(",AY12,"-",AX13,")"),AND(AX12="00",AX13&lt;&gt;"00"),CONCATENATE(AX13,"-",AY13),AND(AX12&lt;&gt;"00",AX13="00"),CONCATENATE(AX12,"-",AY12))</f>
        <v>#REF!</v>
      </c>
      <c r="AY14" s="105"/>
      <c r="AZ14" s="104" t="e" cm="1">
        <f t="array" ref="AZ14">_xlfn.IFS(AND(AZ12="00",AZ13="00"),";H",AND(AZ12&lt;&gt;"00",AZ13&lt;&gt;"00"),CONCATENATE(AZ12,"-",BA13,"(",BA12,"-",AZ13,")"),AND(AZ12="00",AZ13&lt;&gt;"00"),CONCATENATE(AZ13,"-",BA13),AND(AZ12&lt;&gt;"00",AZ13="00"),CONCATENATE(AZ12,"-",BA12))</f>
        <v>#REF!</v>
      </c>
      <c r="BA14" s="105"/>
      <c r="BB14" s="104" t="e" cm="1">
        <f t="array" ref="BB14">_xlfn.IFS(AND(BB12="00",BB13="00"),";H",AND(BB12&lt;&gt;"00",BB13&lt;&gt;"00"),CONCATENATE(BB12,"-",BC13,"(",BC12,"-",BB13,")"),AND(BB12="00",BB13&lt;&gt;"00"),CONCATENATE(BB13,"-",BC13),AND(BB12&lt;&gt;"00",BB13="00"),CONCATENATE(BB12,"-",BC12))</f>
        <v>#REF!</v>
      </c>
      <c r="BC14" s="105"/>
      <c r="BD14" s="104" t="e" cm="1">
        <f t="array" ref="BD14">_xlfn.IFS(AND(BD12="00",BD13="00"),";H",AND(BD12&lt;&gt;"00",BD13&lt;&gt;"00"),CONCATENATE(BD12,"-",BE13,"(",BE12,"-",BD13,")"),AND(BD12="00",BD13&lt;&gt;"00"),CONCATENATE(BD13,"-",BE13),AND(BD12&lt;&gt;"00",BD13="00"),CONCATENATE(BD12,"-",BE12))</f>
        <v>#REF!</v>
      </c>
      <c r="BE14" s="105"/>
      <c r="BF14" s="104" t="e" cm="1">
        <f t="array" ref="BF14">_xlfn.IFS(AND(BF12="00",BF13="00"),";H",AND(BF12&lt;&gt;"00",BF13&lt;&gt;"00"),CONCATENATE(BF12,"-",BG13,"(",BG12,"-",BF13,")"),AND(BF12="00",BF13&lt;&gt;"00"),CONCATENATE(BF13,"-",BG13),AND(BF12&lt;&gt;"00",BF13="00"),CONCATENATE(BF12,"-",BG12))</f>
        <v>#REF!</v>
      </c>
      <c r="BG14" s="105"/>
      <c r="BH14" s="104" t="e" cm="1">
        <f t="array" ref="BH14">_xlfn.IFS(AND(BH12="00",BH13="00"),";H",AND(BH12&lt;&gt;"00",BH13&lt;&gt;"00"),CONCATENATE(BH12,"-",BI13,"(",BI12,"-",BH13,")"),AND(BH12="00",BH13&lt;&gt;"00"),CONCATENATE(BH13,"-",BI13),AND(BH12&lt;&gt;"00",BH13="00"),CONCATENATE(BH12,"-",BI12))</f>
        <v>#REF!</v>
      </c>
      <c r="BI14" s="105"/>
      <c r="BJ14" s="104" t="e" cm="1">
        <f t="array" ref="BJ14">_xlfn.IFS(AND(BJ12="00",BJ13="00"),";H",AND(BJ12&lt;&gt;"00",BJ13&lt;&gt;"00"),CONCATENATE(BJ12,"-",BK13,"(",BK12,"-",BJ13,")"),AND(BJ12="00",BJ13&lt;&gt;"00"),CONCATENATE(BJ13,"-",BK13),AND(BJ12&lt;&gt;"00",BJ13="00"),CONCATENATE(BJ12,"-",BK12))</f>
        <v>#REF!</v>
      </c>
      <c r="BK14" s="105"/>
      <c r="BL14" s="104" t="e" cm="1">
        <f t="array" ref="BL14">_xlfn.IFS(AND(BL12="00",BL13="00"),";H",AND(BL12&lt;&gt;"00",BL13&lt;&gt;"00"),CONCATENATE(BL12,"-",BM13,"(",BM12,"-",BL13,")"),AND(BL12="00",BL13&lt;&gt;"00"),CONCATENATE(BL13,"-",BM13),AND(BL12&lt;&gt;"00",BL13="00"),CONCATENATE(BL12,"-",BM12))</f>
        <v>#REF!</v>
      </c>
      <c r="BM14" s="105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ht="15" thickBot="1">
      <c r="A15" s="83"/>
      <c r="B15" s="145" t="e">
        <f>#REF!</f>
        <v>#REF!</v>
      </c>
      <c r="C15" s="93"/>
      <c r="D15" s="23" t="e">
        <f>IF(MOD(#REF!,1)=0,CONCATENATE(#REF!,"00"),CONCATENATE(INT(#REF!),"30"))</f>
        <v>#REF!</v>
      </c>
      <c r="E15" s="24" t="e">
        <f>IF(MOD(#REF!,1)=0,CONCATENATE(#REF!,"00"),CONCATENATE(INT(#REF!),"30"))</f>
        <v>#REF!</v>
      </c>
      <c r="F15" s="23" t="e">
        <f>IF(MOD(#REF!,1)=0,CONCATENATE(#REF!,"00"),CONCATENATE(INT(#REF!),"30"))</f>
        <v>#REF!</v>
      </c>
      <c r="G15" s="24" t="e">
        <f>IF(MOD(#REF!,1)=0,CONCATENATE(#REF!,"00"),CONCATENATE(INT(#REF!),"30"))</f>
        <v>#REF!</v>
      </c>
      <c r="H15" s="23" t="e">
        <f>IF(MOD(#REF!,1)=0,CONCATENATE(#REF!,"00"),CONCATENATE(INT(#REF!),"30"))</f>
        <v>#REF!</v>
      </c>
      <c r="I15" s="24" t="e">
        <f>IF(MOD(#REF!,1)=0,CONCATENATE(#REF!,"00"),CONCATENATE(INT(#REF!),"30"))</f>
        <v>#REF!</v>
      </c>
      <c r="J15" s="23" t="e">
        <f>IF(MOD(#REF!,1)=0,CONCATENATE(#REF!,"00"),CONCATENATE(INT(#REF!),"30"))</f>
        <v>#REF!</v>
      </c>
      <c r="K15" s="24" t="e">
        <f>IF(MOD(#REF!,1)=0,CONCATENATE(#REF!,"00"),CONCATENATE(INT(#REF!),"30"))</f>
        <v>#REF!</v>
      </c>
      <c r="L15" s="23" t="e">
        <f>IF(MOD(#REF!,1)=0,CONCATENATE(#REF!,"00"),CONCATENATE(INT(#REF!),"30"))</f>
        <v>#REF!</v>
      </c>
      <c r="M15" s="24" t="e">
        <f>IF(MOD(#REF!,1)=0,CONCATENATE(#REF!,"00"),CONCATENATE(INT(#REF!),"30"))</f>
        <v>#REF!</v>
      </c>
      <c r="N15" s="23" t="e">
        <f>IF(MOD(#REF!,1)=0,CONCATENATE(#REF!,"00"),CONCATENATE(INT(#REF!),"30"))</f>
        <v>#REF!</v>
      </c>
      <c r="O15" s="24" t="e">
        <f>IF(MOD(#REF!,1)=0,CONCATENATE(#REF!,"00"),CONCATENATE(INT(#REF!),"30"))</f>
        <v>#REF!</v>
      </c>
      <c r="P15" s="23" t="e">
        <f>IF(MOD(#REF!,1)=0,CONCATENATE(#REF!,"00"),CONCATENATE(INT(#REF!),"30"))</f>
        <v>#REF!</v>
      </c>
      <c r="Q15" s="24" t="e">
        <f>IF(MOD(#REF!,1)=0,CONCATENATE(#REF!,"00"),CONCATENATE(INT(#REF!),"30"))</f>
        <v>#REF!</v>
      </c>
      <c r="R15" s="23" t="e">
        <f>IF(MOD(#REF!,1)=0,CONCATENATE(#REF!,"00"),CONCATENATE(INT(#REF!),"30"))</f>
        <v>#REF!</v>
      </c>
      <c r="S15" s="24" t="e">
        <f>IF(MOD(#REF!,1)=0,CONCATENATE(#REF!,"00"),CONCATENATE(INT(#REF!),"30"))</f>
        <v>#REF!</v>
      </c>
      <c r="T15" s="23" t="e">
        <f>IF(MOD(#REF!,1)=0,CONCATENATE(#REF!,"00"),CONCATENATE(INT(#REF!),"30"))</f>
        <v>#REF!</v>
      </c>
      <c r="U15" s="24" t="e">
        <f>IF(MOD(#REF!,1)=0,CONCATENATE(#REF!,"00"),CONCATENATE(INT(#REF!),"30"))</f>
        <v>#REF!</v>
      </c>
      <c r="V15" s="23" t="e">
        <f>IF(MOD(#REF!,1)=0,CONCATENATE(#REF!,"00"),CONCATENATE(INT(#REF!),"30"))</f>
        <v>#REF!</v>
      </c>
      <c r="W15" s="24" t="e">
        <f>IF(MOD(#REF!,1)=0,CONCATENATE(#REF!,"00"),CONCATENATE(INT(#REF!),"30"))</f>
        <v>#REF!</v>
      </c>
      <c r="X15" s="23" t="e">
        <f>IF(MOD(#REF!,1)=0,CONCATENATE(#REF!,"00"),CONCATENATE(INT(#REF!),"30"))</f>
        <v>#REF!</v>
      </c>
      <c r="Y15" s="24" t="e">
        <f>IF(MOD(#REF!,1)=0,CONCATENATE(#REF!,"00"),CONCATENATE(INT(#REF!),"30"))</f>
        <v>#REF!</v>
      </c>
      <c r="Z15" s="23" t="e">
        <f>IF(MOD(#REF!,1)=0,CONCATENATE(#REF!,"00"),CONCATENATE(INT(#REF!),"30"))</f>
        <v>#REF!</v>
      </c>
      <c r="AA15" s="24" t="e">
        <f>IF(MOD(#REF!,1)=0,CONCATENATE(#REF!,"00"),CONCATENATE(INT(#REF!),"30"))</f>
        <v>#REF!</v>
      </c>
      <c r="AB15" s="23" t="e">
        <f>IF(MOD(#REF!,1)=0,CONCATENATE(#REF!,"00"),CONCATENATE(INT(#REF!),"30"))</f>
        <v>#REF!</v>
      </c>
      <c r="AC15" s="24" t="e">
        <f>IF(MOD(#REF!,1)=0,CONCATENATE(#REF!,"00"),CONCATENATE(INT(#REF!),"30"))</f>
        <v>#REF!</v>
      </c>
      <c r="AD15" s="23" t="e">
        <f>IF(MOD(#REF!,1)=0,CONCATENATE(#REF!,"00"),CONCATENATE(INT(#REF!),"30"))</f>
        <v>#REF!</v>
      </c>
      <c r="AE15" s="24" t="e">
        <f>IF(MOD(#REF!,1)=0,CONCATENATE(#REF!,"00"),CONCATENATE(INT(#REF!),"30"))</f>
        <v>#REF!</v>
      </c>
      <c r="AF15" s="23" t="e">
        <f>IF(MOD(#REF!,1)=0,CONCATENATE(#REF!,"00"),CONCATENATE(INT(#REF!),"30"))</f>
        <v>#REF!</v>
      </c>
      <c r="AG15" s="24" t="e">
        <f>IF(MOD(#REF!,1)=0,CONCATENATE(#REF!,"00"),CONCATENATE(INT(#REF!),"30"))</f>
        <v>#REF!</v>
      </c>
      <c r="AH15" s="23" t="e">
        <f>IF(MOD(#REF!,1)=0,CONCATENATE(#REF!,"00"),CONCATENATE(INT(#REF!),"30"))</f>
        <v>#REF!</v>
      </c>
      <c r="AI15" s="24" t="e">
        <f>IF(MOD(#REF!,1)=0,CONCATENATE(#REF!,"00"),CONCATENATE(INT(#REF!),"30"))</f>
        <v>#REF!</v>
      </c>
      <c r="AJ15" s="23" t="e">
        <f>IF(MOD(#REF!,1)=0,CONCATENATE(#REF!,"00"),CONCATENATE(INT(#REF!),"30"))</f>
        <v>#REF!</v>
      </c>
      <c r="AK15" s="24" t="e">
        <f>IF(MOD(#REF!,1)=0,CONCATENATE(#REF!,"00"),CONCATENATE(INT(#REF!),"30"))</f>
        <v>#REF!</v>
      </c>
      <c r="AL15" s="23" t="e">
        <f>IF(MOD(#REF!,1)=0,CONCATENATE(#REF!,"00"),CONCATENATE(INT(#REF!),"30"))</f>
        <v>#REF!</v>
      </c>
      <c r="AM15" s="24" t="e">
        <f>IF(MOD(#REF!,1)=0,CONCATENATE(#REF!,"00"),CONCATENATE(INT(#REF!),"30"))</f>
        <v>#REF!</v>
      </c>
      <c r="AN15" s="23" t="e">
        <f>IF(MOD(#REF!,1)=0,CONCATENATE(#REF!,"00"),CONCATENATE(INT(#REF!),"30"))</f>
        <v>#REF!</v>
      </c>
      <c r="AO15" s="24" t="e">
        <f>IF(MOD(#REF!,1)=0,CONCATENATE(#REF!,"00"),CONCATENATE(INT(#REF!),"30"))</f>
        <v>#REF!</v>
      </c>
      <c r="AP15" s="23" t="e">
        <f>IF(MOD(#REF!,1)=0,CONCATENATE(#REF!,"00"),CONCATENATE(INT(#REF!),"30"))</f>
        <v>#REF!</v>
      </c>
      <c r="AQ15" s="24" t="e">
        <f>IF(MOD(#REF!,1)=0,CONCATENATE(#REF!,"00"),CONCATENATE(INT(#REF!),"30"))</f>
        <v>#REF!</v>
      </c>
      <c r="AR15" s="23" t="e">
        <f>IF(MOD(#REF!,1)=0,CONCATENATE(#REF!,"00"),CONCATENATE(INT(#REF!),"30"))</f>
        <v>#REF!</v>
      </c>
      <c r="AS15" s="24" t="e">
        <f>IF(MOD(#REF!,1)=0,CONCATENATE(#REF!,"00"),CONCATENATE(INT(#REF!),"30"))</f>
        <v>#REF!</v>
      </c>
      <c r="AT15" s="23" t="e">
        <f>IF(MOD(#REF!,1)=0,CONCATENATE(#REF!,"00"),CONCATENATE(INT(#REF!),"30"))</f>
        <v>#REF!</v>
      </c>
      <c r="AU15" s="24" t="e">
        <f>IF(MOD(#REF!,1)=0,CONCATENATE(#REF!,"00"),CONCATENATE(INT(#REF!),"30"))</f>
        <v>#REF!</v>
      </c>
      <c r="AV15" s="23" t="e">
        <f>IF(MOD(#REF!,1)=0,CONCATENATE(#REF!,"00"),CONCATENATE(INT(#REF!),"30"))</f>
        <v>#REF!</v>
      </c>
      <c r="AW15" s="24" t="e">
        <f>IF(MOD(#REF!,1)=0,CONCATENATE(#REF!,"00"),CONCATENATE(INT(#REF!),"30"))</f>
        <v>#REF!</v>
      </c>
      <c r="AX15" s="23" t="e">
        <f>IF(MOD(#REF!,1)=0,CONCATENATE(#REF!,"00"),CONCATENATE(INT(#REF!),"30"))</f>
        <v>#REF!</v>
      </c>
      <c r="AY15" s="24" t="e">
        <f>IF(MOD(#REF!,1)=0,CONCATENATE(#REF!,"00"),CONCATENATE(INT(#REF!),"30"))</f>
        <v>#REF!</v>
      </c>
      <c r="AZ15" s="23" t="e">
        <f>IF(MOD(#REF!,1)=0,CONCATENATE(#REF!,"00"),CONCATENATE(INT(#REF!),"30"))</f>
        <v>#REF!</v>
      </c>
      <c r="BA15" s="24" t="e">
        <f>IF(MOD(#REF!,1)=0,CONCATENATE(#REF!,"00"),CONCATENATE(INT(#REF!),"30"))</f>
        <v>#REF!</v>
      </c>
      <c r="BB15" s="23" t="e">
        <f>IF(MOD(#REF!,1)=0,CONCATENATE(#REF!,"00"),CONCATENATE(INT(#REF!),"30"))</f>
        <v>#REF!</v>
      </c>
      <c r="BC15" s="24" t="e">
        <f>IF(MOD(#REF!,1)=0,CONCATENATE(#REF!,"00"),CONCATENATE(INT(#REF!),"30"))</f>
        <v>#REF!</v>
      </c>
      <c r="BD15" s="23" t="e">
        <f>IF(MOD(#REF!,1)=0,CONCATENATE(#REF!,"00"),CONCATENATE(INT(#REF!),"30"))</f>
        <v>#REF!</v>
      </c>
      <c r="BE15" s="24" t="e">
        <f>IF(MOD(#REF!,1)=0,CONCATENATE(#REF!,"00"),CONCATENATE(INT(#REF!),"30"))</f>
        <v>#REF!</v>
      </c>
      <c r="BF15" s="23" t="e">
        <f>IF(MOD(#REF!,1)=0,CONCATENATE(#REF!,"00"),CONCATENATE(INT(#REF!),"30"))</f>
        <v>#REF!</v>
      </c>
      <c r="BG15" s="24" t="e">
        <f>IF(MOD(#REF!,1)=0,CONCATENATE(#REF!,"00"),CONCATENATE(INT(#REF!),"30"))</f>
        <v>#REF!</v>
      </c>
      <c r="BH15" s="23" t="e">
        <f>IF(MOD(#REF!,1)=0,CONCATENATE(#REF!,"00"),CONCATENATE(INT(#REF!),"30"))</f>
        <v>#REF!</v>
      </c>
      <c r="BI15" s="24" t="e">
        <f>IF(MOD(#REF!,1)=0,CONCATENATE(#REF!,"00"),CONCATENATE(INT(#REF!),"30"))</f>
        <v>#REF!</v>
      </c>
      <c r="BJ15" s="23" t="e">
        <f>IF(MOD(#REF!,1)=0,CONCATENATE(#REF!,"00"),CONCATENATE(INT(#REF!),"30"))</f>
        <v>#REF!</v>
      </c>
      <c r="BK15" s="24" t="e">
        <f>IF(MOD(#REF!,1)=0,CONCATENATE(#REF!,"00"),CONCATENATE(INT(#REF!),"30"))</f>
        <v>#REF!</v>
      </c>
      <c r="BL15" s="23" t="e">
        <f>IF(MOD(#REF!,1)=0,CONCATENATE(#REF!,"00"),CONCATENATE(INT(#REF!),"30"))</f>
        <v>#REF!</v>
      </c>
      <c r="BM15" s="24" t="e">
        <f>IF(MOD(#REF!,1)=0,CONCATENATE(#REF!,"00"),CONCATENATE(INT(#REF!),"30"))</f>
        <v>#REF!</v>
      </c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ht="15" thickBot="1">
      <c r="A16" s="84"/>
      <c r="B16" s="86"/>
      <c r="C16" s="94"/>
      <c r="D16" s="25" t="e">
        <f>IF(MOD(#REF!,1)=0,CONCATENATE(#REF!,"00"),CONCATENATE(INT(#REF!),"30"))</f>
        <v>#REF!</v>
      </c>
      <c r="E16" s="26" t="e">
        <f>IF(MOD(#REF!,1)=0,CONCATENATE(#REF!,"00"),CONCATENATE(INT(#REF!),"30"))</f>
        <v>#REF!</v>
      </c>
      <c r="F16" s="25" t="e">
        <f>IF(MOD(#REF!,1)=0,CONCATENATE(#REF!,"00"),CONCATENATE(INT(#REF!),"30"))</f>
        <v>#REF!</v>
      </c>
      <c r="G16" s="26" t="e">
        <f>IF(MOD(#REF!,1)=0,CONCATENATE(#REF!,"00"),CONCATENATE(INT(#REF!),"30"))</f>
        <v>#REF!</v>
      </c>
      <c r="H16" s="25" t="e">
        <f>IF(MOD(#REF!,1)=0,CONCATENATE(#REF!,"00"),CONCATENATE(INT(#REF!),"30"))</f>
        <v>#REF!</v>
      </c>
      <c r="I16" s="26" t="e">
        <f>IF(MOD(#REF!,1)=0,CONCATENATE(#REF!,"00"),CONCATENATE(INT(#REF!),"30"))</f>
        <v>#REF!</v>
      </c>
      <c r="J16" s="25" t="e">
        <f>IF(MOD(#REF!,1)=0,CONCATENATE(#REF!,"00"),CONCATENATE(INT(#REF!),"30"))</f>
        <v>#REF!</v>
      </c>
      <c r="K16" s="26" t="e">
        <f>IF(MOD(#REF!,1)=0,CONCATENATE(#REF!,"00"),CONCATENATE(INT(#REF!),"30"))</f>
        <v>#REF!</v>
      </c>
      <c r="L16" s="25" t="e">
        <f>IF(MOD(#REF!,1)=0,CONCATENATE(#REF!,"00"),CONCATENATE(INT(#REF!),"30"))</f>
        <v>#REF!</v>
      </c>
      <c r="M16" s="26" t="e">
        <f>IF(MOD(#REF!,1)=0,CONCATENATE(#REF!,"00"),CONCATENATE(INT(#REF!),"30"))</f>
        <v>#REF!</v>
      </c>
      <c r="N16" s="25" t="e">
        <f>IF(MOD(#REF!,1)=0,CONCATENATE(#REF!,"00"),CONCATENATE(INT(#REF!),"30"))</f>
        <v>#REF!</v>
      </c>
      <c r="O16" s="26" t="e">
        <f>IF(MOD(#REF!,1)=0,CONCATENATE(#REF!,"00"),CONCATENATE(INT(#REF!),"30"))</f>
        <v>#REF!</v>
      </c>
      <c r="P16" s="25" t="e">
        <f>IF(MOD(#REF!,1)=0,CONCATENATE(#REF!,"00"),CONCATENATE(INT(#REF!),"30"))</f>
        <v>#REF!</v>
      </c>
      <c r="Q16" s="26" t="e">
        <f>IF(MOD(#REF!,1)=0,CONCATENATE(#REF!,"00"),CONCATENATE(INT(#REF!),"30"))</f>
        <v>#REF!</v>
      </c>
      <c r="R16" s="25" t="e">
        <f>IF(MOD(#REF!,1)=0,CONCATENATE(#REF!,"00"),CONCATENATE(INT(#REF!),"30"))</f>
        <v>#REF!</v>
      </c>
      <c r="S16" s="26" t="e">
        <f>IF(MOD(#REF!,1)=0,CONCATENATE(#REF!,"00"),CONCATENATE(INT(#REF!),"30"))</f>
        <v>#REF!</v>
      </c>
      <c r="T16" s="25" t="e">
        <f>IF(MOD(#REF!,1)=0,CONCATENATE(#REF!,"00"),CONCATENATE(INT(#REF!),"30"))</f>
        <v>#REF!</v>
      </c>
      <c r="U16" s="26" t="e">
        <f>IF(MOD(#REF!,1)=0,CONCATENATE(#REF!,"00"),CONCATENATE(INT(#REF!),"30"))</f>
        <v>#REF!</v>
      </c>
      <c r="V16" s="25" t="e">
        <f>IF(MOD(#REF!,1)=0,CONCATENATE(#REF!,"00"),CONCATENATE(INT(#REF!),"30"))</f>
        <v>#REF!</v>
      </c>
      <c r="W16" s="26" t="e">
        <f>IF(MOD(#REF!,1)=0,CONCATENATE(#REF!,"00"),CONCATENATE(INT(#REF!),"30"))</f>
        <v>#REF!</v>
      </c>
      <c r="X16" s="25" t="e">
        <f>IF(MOD(#REF!,1)=0,CONCATENATE(#REF!,"00"),CONCATENATE(INT(#REF!),"30"))</f>
        <v>#REF!</v>
      </c>
      <c r="Y16" s="26" t="e">
        <f>IF(MOD(#REF!,1)=0,CONCATENATE(#REF!,"00"),CONCATENATE(INT(#REF!),"30"))</f>
        <v>#REF!</v>
      </c>
      <c r="Z16" s="25" t="e">
        <f>IF(MOD(#REF!,1)=0,CONCATENATE(#REF!,"00"),CONCATENATE(INT(#REF!),"30"))</f>
        <v>#REF!</v>
      </c>
      <c r="AA16" s="26" t="e">
        <f>IF(MOD(#REF!,1)=0,CONCATENATE(#REF!,"00"),CONCATENATE(INT(#REF!),"30"))</f>
        <v>#REF!</v>
      </c>
      <c r="AB16" s="25" t="e">
        <f>IF(MOD(#REF!,1)=0,CONCATENATE(#REF!,"00"),CONCATENATE(INT(#REF!),"30"))</f>
        <v>#REF!</v>
      </c>
      <c r="AC16" s="26" t="e">
        <f>IF(MOD(#REF!,1)=0,CONCATENATE(#REF!,"00"),CONCATENATE(INT(#REF!),"30"))</f>
        <v>#REF!</v>
      </c>
      <c r="AD16" s="25" t="e">
        <f>IF(MOD(#REF!,1)=0,CONCATENATE(#REF!,"00"),CONCATENATE(INT(#REF!),"30"))</f>
        <v>#REF!</v>
      </c>
      <c r="AE16" s="26" t="e">
        <f>IF(MOD(#REF!,1)=0,CONCATENATE(#REF!,"00"),CONCATENATE(INT(#REF!),"30"))</f>
        <v>#REF!</v>
      </c>
      <c r="AF16" s="25" t="e">
        <f>IF(MOD(#REF!,1)=0,CONCATENATE(#REF!,"00"),CONCATENATE(INT(#REF!),"30"))</f>
        <v>#REF!</v>
      </c>
      <c r="AG16" s="26" t="e">
        <f>IF(MOD(#REF!,1)=0,CONCATENATE(#REF!,"00"),CONCATENATE(INT(#REF!),"30"))</f>
        <v>#REF!</v>
      </c>
      <c r="AH16" s="25" t="e">
        <f>IF(MOD(#REF!,1)=0,CONCATENATE(#REF!,"00"),CONCATENATE(INT(#REF!),"30"))</f>
        <v>#REF!</v>
      </c>
      <c r="AI16" s="26" t="e">
        <f>IF(MOD(#REF!,1)=0,CONCATENATE(#REF!,"00"),CONCATENATE(INT(#REF!),"30"))</f>
        <v>#REF!</v>
      </c>
      <c r="AJ16" s="25" t="e">
        <f>IF(MOD(#REF!,1)=0,CONCATENATE(#REF!,"00"),CONCATENATE(INT(#REF!),"30"))</f>
        <v>#REF!</v>
      </c>
      <c r="AK16" s="26" t="e">
        <f>IF(MOD(#REF!,1)=0,CONCATENATE(#REF!,"00"),CONCATENATE(INT(#REF!),"30"))</f>
        <v>#REF!</v>
      </c>
      <c r="AL16" s="25" t="e">
        <f>IF(MOD(#REF!,1)=0,CONCATENATE(#REF!,"00"),CONCATENATE(INT(#REF!),"30"))</f>
        <v>#REF!</v>
      </c>
      <c r="AM16" s="26" t="e">
        <f>IF(MOD(#REF!,1)=0,CONCATENATE(#REF!,"00"),CONCATENATE(INT(#REF!),"30"))</f>
        <v>#REF!</v>
      </c>
      <c r="AN16" s="25" t="e">
        <f>IF(MOD(#REF!,1)=0,CONCATENATE(#REF!,"00"),CONCATENATE(INT(#REF!),"30"))</f>
        <v>#REF!</v>
      </c>
      <c r="AO16" s="26" t="e">
        <f>IF(MOD(#REF!,1)=0,CONCATENATE(#REF!,"00"),CONCATENATE(INT(#REF!),"30"))</f>
        <v>#REF!</v>
      </c>
      <c r="AP16" s="25" t="e">
        <f>IF(MOD(#REF!,1)=0,CONCATENATE(#REF!,"00"),CONCATENATE(INT(#REF!),"30"))</f>
        <v>#REF!</v>
      </c>
      <c r="AQ16" s="26" t="e">
        <f>IF(MOD(#REF!,1)=0,CONCATENATE(#REF!,"00"),CONCATENATE(INT(#REF!),"30"))</f>
        <v>#REF!</v>
      </c>
      <c r="AR16" s="25" t="e">
        <f>IF(MOD(#REF!,1)=0,CONCATENATE(#REF!,"00"),CONCATENATE(INT(#REF!),"30"))</f>
        <v>#REF!</v>
      </c>
      <c r="AS16" s="26" t="e">
        <f>IF(MOD(#REF!,1)=0,CONCATENATE(#REF!,"00"),CONCATENATE(INT(#REF!),"30"))</f>
        <v>#REF!</v>
      </c>
      <c r="AT16" s="25" t="e">
        <f>IF(MOD(#REF!,1)=0,CONCATENATE(#REF!,"00"),CONCATENATE(INT(#REF!),"30"))</f>
        <v>#REF!</v>
      </c>
      <c r="AU16" s="26" t="e">
        <f>IF(MOD(#REF!,1)=0,CONCATENATE(#REF!,"00"),CONCATENATE(INT(#REF!),"30"))</f>
        <v>#REF!</v>
      </c>
      <c r="AV16" s="25" t="e">
        <f>IF(MOD(#REF!,1)=0,CONCATENATE(#REF!,"00"),CONCATENATE(INT(#REF!),"30"))</f>
        <v>#REF!</v>
      </c>
      <c r="AW16" s="26" t="e">
        <f>IF(MOD(#REF!,1)=0,CONCATENATE(#REF!,"00"),CONCATENATE(INT(#REF!),"30"))</f>
        <v>#REF!</v>
      </c>
      <c r="AX16" s="25" t="e">
        <f>IF(MOD(#REF!,1)=0,CONCATENATE(#REF!,"00"),CONCATENATE(INT(#REF!),"30"))</f>
        <v>#REF!</v>
      </c>
      <c r="AY16" s="26" t="e">
        <f>IF(MOD(#REF!,1)=0,CONCATENATE(#REF!,"00"),CONCATENATE(INT(#REF!),"30"))</f>
        <v>#REF!</v>
      </c>
      <c r="AZ16" s="25" t="e">
        <f>IF(MOD(#REF!,1)=0,CONCATENATE(#REF!,"00"),CONCATENATE(INT(#REF!),"30"))</f>
        <v>#REF!</v>
      </c>
      <c r="BA16" s="26" t="e">
        <f>IF(MOD(#REF!,1)=0,CONCATENATE(#REF!,"00"),CONCATENATE(INT(#REF!),"30"))</f>
        <v>#REF!</v>
      </c>
      <c r="BB16" s="25" t="e">
        <f>IF(MOD(#REF!,1)=0,CONCATENATE(#REF!,"00"),CONCATENATE(INT(#REF!),"30"))</f>
        <v>#REF!</v>
      </c>
      <c r="BC16" s="26" t="e">
        <f>IF(MOD(#REF!,1)=0,CONCATENATE(#REF!,"00"),CONCATENATE(INT(#REF!),"30"))</f>
        <v>#REF!</v>
      </c>
      <c r="BD16" s="25" t="e">
        <f>IF(MOD(#REF!,1)=0,CONCATENATE(#REF!,"00"),CONCATENATE(INT(#REF!),"30"))</f>
        <v>#REF!</v>
      </c>
      <c r="BE16" s="26" t="e">
        <f>IF(MOD(#REF!,1)=0,CONCATENATE(#REF!,"00"),CONCATENATE(INT(#REF!),"30"))</f>
        <v>#REF!</v>
      </c>
      <c r="BF16" s="25" t="e">
        <f>IF(MOD(#REF!,1)=0,CONCATENATE(#REF!,"00"),CONCATENATE(INT(#REF!),"30"))</f>
        <v>#REF!</v>
      </c>
      <c r="BG16" s="26" t="e">
        <f>IF(MOD(#REF!,1)=0,CONCATENATE(#REF!,"00"),CONCATENATE(INT(#REF!),"30"))</f>
        <v>#REF!</v>
      </c>
      <c r="BH16" s="25" t="e">
        <f>IF(MOD(#REF!,1)=0,CONCATENATE(#REF!,"00"),CONCATENATE(INT(#REF!),"30"))</f>
        <v>#REF!</v>
      </c>
      <c r="BI16" s="26" t="e">
        <f>IF(MOD(#REF!,1)=0,CONCATENATE(#REF!,"00"),CONCATENATE(INT(#REF!),"30"))</f>
        <v>#REF!</v>
      </c>
      <c r="BJ16" s="25" t="e">
        <f>IF(MOD(#REF!,1)=0,CONCATENATE(#REF!,"00"),CONCATENATE(INT(#REF!),"30"))</f>
        <v>#REF!</v>
      </c>
      <c r="BK16" s="26" t="e">
        <f>IF(MOD(#REF!,1)=0,CONCATENATE(#REF!,"00"),CONCATENATE(INT(#REF!),"30"))</f>
        <v>#REF!</v>
      </c>
      <c r="BL16" s="25" t="e">
        <f>IF(MOD(#REF!,1)=0,CONCATENATE(#REF!,"00"),CONCATENATE(INT(#REF!),"30"))</f>
        <v>#REF!</v>
      </c>
      <c r="BM16" s="26" t="e">
        <f>IF(MOD(#REF!,1)=0,CONCATENATE(#REF!,"00"),CONCATENATE(INT(#REF!),"30"))</f>
        <v>#REF!</v>
      </c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ht="40" customHeight="1" thickBot="1">
      <c r="A17" s="47"/>
      <c r="B17" s="84"/>
      <c r="C17" s="95"/>
      <c r="D17" s="104" t="e" cm="1">
        <f t="array" ref="D17">_xlfn.IFS(AND(D15="00",D16="00"),";H",AND(D15&lt;&gt;"00",D16&lt;&gt;"00"),CONCATENATE(D15,"-",E16,"(",E15,"-",D16,")"),AND(D15="00",D16&lt;&gt;"00"),CONCATENATE(D16,"-",E16),AND(D15&lt;&gt;"00",D16="00"),CONCATENATE(D15,"-",E15))</f>
        <v>#REF!</v>
      </c>
      <c r="E17" s="105"/>
      <c r="F17" s="104" t="e" cm="1">
        <f t="array" ref="F17">_xlfn.IFS(AND(F15="00",F16="00"),";H",AND(F15&lt;&gt;"00",F16&lt;&gt;"00"),CONCATENATE(F15,"-",G16,"(",G15,"-",F16,")"),AND(F15="00",F16&lt;&gt;"00"),CONCATENATE(F16,"-",G16),AND(F15&lt;&gt;"00",F16="00"),CONCATENATE(F15,"-",G15))</f>
        <v>#REF!</v>
      </c>
      <c r="G17" s="105"/>
      <c r="H17" s="104" t="e" cm="1">
        <f t="array" ref="H17">_xlfn.IFS(AND(H15="00",H16="00"),";H",AND(H15&lt;&gt;"00",H16&lt;&gt;"00"),CONCATENATE(H15,"-",I16,"(",I15,"-",H16,")"),AND(H15="00",H16&lt;&gt;"00"),CONCATENATE(H16,"-",I16),AND(H15&lt;&gt;"00",H16="00"),CONCATENATE(H15,"-",I15))</f>
        <v>#REF!</v>
      </c>
      <c r="I17" s="105"/>
      <c r="J17" s="104" t="e" cm="1">
        <f t="array" ref="J17">_xlfn.IFS(AND(J15="00",J16="00"),";H",AND(J15&lt;&gt;"00",J16&lt;&gt;"00"),CONCATENATE(J15,"-",K16,"(",K15,"-",J16,")"),AND(J15="00",J16&lt;&gt;"00"),CONCATENATE(J16,"-",K16),AND(J15&lt;&gt;"00",J16="00"),CONCATENATE(J15,"-",K15))</f>
        <v>#REF!</v>
      </c>
      <c r="K17" s="105"/>
      <c r="L17" s="104" t="e" cm="1">
        <f t="array" ref="L17">_xlfn.IFS(AND(L15="00",L16="00"),";H",AND(L15&lt;&gt;"00",L16&lt;&gt;"00"),CONCATENATE(L15,"-",M16,"(",M15,"-",L16,")"),AND(L15="00",L16&lt;&gt;"00"),CONCATENATE(L16,"-",M16),AND(L15&lt;&gt;"00",L16="00"),CONCATENATE(L15,"-",M15))</f>
        <v>#REF!</v>
      </c>
      <c r="M17" s="105"/>
      <c r="N17" s="104" t="e" cm="1">
        <f t="array" ref="N17">_xlfn.IFS(AND(N15="00",N16="00"),";H",AND(N15&lt;&gt;"00",N16&lt;&gt;"00"),CONCATENATE(N15,"-",O16,"(",O15,"-",N16,")"),AND(N15="00",N16&lt;&gt;"00"),CONCATENATE(N16,"-",O16),AND(N15&lt;&gt;"00",N16="00"),CONCATENATE(N15,"-",O15))</f>
        <v>#REF!</v>
      </c>
      <c r="O17" s="105"/>
      <c r="P17" s="104" t="e" cm="1">
        <f t="array" ref="P17">_xlfn.IFS(AND(P15="00",P16="00"),";H",AND(P15&lt;&gt;"00",P16&lt;&gt;"00"),CONCATENATE(P15,"-",Q16,"(",Q15,"-",P16,")"),AND(P15="00",P16&lt;&gt;"00"),CONCATENATE(P16,"-",Q16),AND(P15&lt;&gt;"00",P16="00"),CONCATENATE(P15,"-",Q15))</f>
        <v>#REF!</v>
      </c>
      <c r="Q17" s="105"/>
      <c r="R17" s="104" t="e" cm="1">
        <f t="array" ref="R17">_xlfn.IFS(AND(R15="00",R16="00"),";H",AND(R15&lt;&gt;"00",R16&lt;&gt;"00"),CONCATENATE(R15,"-",S16,"(",S15,"-",R16,")"),AND(R15="00",R16&lt;&gt;"00"),CONCATENATE(R16,"-",S16),AND(R15&lt;&gt;"00",R16="00"),CONCATENATE(R15,"-",S15))</f>
        <v>#REF!</v>
      </c>
      <c r="S17" s="105"/>
      <c r="T17" s="104" t="e" cm="1">
        <f t="array" ref="T17">_xlfn.IFS(AND(T15="00",T16="00"),";H",AND(T15&lt;&gt;"00",T16&lt;&gt;"00"),CONCATENATE(T15,"-",U16,"(",U15,"-",T16,")"),AND(T15="00",T16&lt;&gt;"00"),CONCATENATE(T16,"-",U16),AND(T15&lt;&gt;"00",T16="00"),CONCATENATE(T15,"-",U15))</f>
        <v>#REF!</v>
      </c>
      <c r="U17" s="105"/>
      <c r="V17" s="104" t="e" cm="1">
        <f t="array" ref="V17">_xlfn.IFS(AND(V15="00",V16="00"),";H",AND(V15&lt;&gt;"00",V16&lt;&gt;"00"),CONCATENATE(V15,"-",W16,"(",W15,"-",V16,")"),AND(V15="00",V16&lt;&gt;"00"),CONCATENATE(V16,"-",W16),AND(V15&lt;&gt;"00",V16="00"),CONCATENATE(V15,"-",W15))</f>
        <v>#REF!</v>
      </c>
      <c r="W17" s="105"/>
      <c r="X17" s="104" t="e" cm="1">
        <f t="array" ref="X17">_xlfn.IFS(AND(X15="00",X16="00"),";H",AND(X15&lt;&gt;"00",X16&lt;&gt;"00"),CONCATENATE(X15,"-",Y16,"(",Y15,"-",X16,")"),AND(X15="00",X16&lt;&gt;"00"),CONCATENATE(X16,"-",Y16),AND(X15&lt;&gt;"00",X16="00"),CONCATENATE(X15,"-",Y15))</f>
        <v>#REF!</v>
      </c>
      <c r="Y17" s="105"/>
      <c r="Z17" s="104" t="e" cm="1">
        <f t="array" ref="Z17">_xlfn.IFS(AND(Z15="00",Z16="00"),";H",AND(Z15&lt;&gt;"00",Z16&lt;&gt;"00"),CONCATENATE(Z15,"-",AA16,"(",AA15,"-",Z16,")"),AND(Z15="00",Z16&lt;&gt;"00"),CONCATENATE(Z16,"-",AA16),AND(Z15&lt;&gt;"00",Z16="00"),CONCATENATE(Z15,"-",AA15))</f>
        <v>#REF!</v>
      </c>
      <c r="AA17" s="105"/>
      <c r="AB17" s="104" t="e" cm="1">
        <f t="array" ref="AB17">_xlfn.IFS(AND(AB15="00",AB16="00"),";H",AND(AB15&lt;&gt;"00",AB16&lt;&gt;"00"),CONCATENATE(AB15,"-",AC16,"(",AC15,"-",AB16,")"),AND(AB15="00",AB16&lt;&gt;"00"),CONCATENATE(AB16,"-",AC16),AND(AB15&lt;&gt;"00",AB16="00"),CONCATENATE(AB15,"-",AC15))</f>
        <v>#REF!</v>
      </c>
      <c r="AC17" s="105"/>
      <c r="AD17" s="104" t="e" cm="1">
        <f t="array" ref="AD17">_xlfn.IFS(AND(AD15="00",AD16="00"),";H",AND(AD15&lt;&gt;"00",AD16&lt;&gt;"00"),CONCATENATE(AD15,"-",AE16,"(",AE15,"-",AD16,")"),AND(AD15="00",AD16&lt;&gt;"00"),CONCATENATE(AD16,"-",AE16),AND(AD15&lt;&gt;"00",AD16="00"),CONCATENATE(AD15,"-",AE15))</f>
        <v>#REF!</v>
      </c>
      <c r="AE17" s="105"/>
      <c r="AF17" s="104" t="e" cm="1">
        <f t="array" ref="AF17">_xlfn.IFS(AND(AF15="00",AF16="00"),";H",AND(AF15&lt;&gt;"00",AF16&lt;&gt;"00"),CONCATENATE(AF15,"-",AG16,"(",AG15,"-",AF16,")"),AND(AF15="00",AF16&lt;&gt;"00"),CONCATENATE(AF16,"-",AG16),AND(AF15&lt;&gt;"00",AF16="00"),CONCATENATE(AF15,"-",AG15))</f>
        <v>#REF!</v>
      </c>
      <c r="AG17" s="105"/>
      <c r="AH17" s="104" t="e" cm="1">
        <f t="array" ref="AH17">_xlfn.IFS(AND(AH15="00",AH16="00"),";H",AND(AH15&lt;&gt;"00",AH16&lt;&gt;"00"),CONCATENATE(AH15,"-",AI16,"(",AI15,"-",AH16,")"),AND(AH15="00",AH16&lt;&gt;"00"),CONCATENATE(AH16,"-",AI16),AND(AH15&lt;&gt;"00",AH16="00"),CONCATENATE(AH15,"-",AI15))</f>
        <v>#REF!</v>
      </c>
      <c r="AI17" s="105"/>
      <c r="AJ17" s="104" t="e" cm="1">
        <f t="array" ref="AJ17">_xlfn.IFS(AND(AJ15="00",AJ16="00"),";H",AND(AJ15&lt;&gt;"00",AJ16&lt;&gt;"00"),CONCATENATE(AJ15,"-",AK16,"(",AK15,"-",AJ16,")"),AND(AJ15="00",AJ16&lt;&gt;"00"),CONCATENATE(AJ16,"-",AK16),AND(AJ15&lt;&gt;"00",AJ16="00"),CONCATENATE(AJ15,"-",AK15))</f>
        <v>#REF!</v>
      </c>
      <c r="AK17" s="105"/>
      <c r="AL17" s="104" t="e" cm="1">
        <f t="array" ref="AL17">_xlfn.IFS(AND(AL15="00",AL16="00"),";H",AND(AL15&lt;&gt;"00",AL16&lt;&gt;"00"),CONCATENATE(AL15,"-",AM16,"(",AM15,"-",AL16,")"),AND(AL15="00",AL16&lt;&gt;"00"),CONCATENATE(AL16,"-",AM16),AND(AL15&lt;&gt;"00",AL16="00"),CONCATENATE(AL15,"-",AM15))</f>
        <v>#REF!</v>
      </c>
      <c r="AM17" s="105"/>
      <c r="AN17" s="104" t="e" cm="1">
        <f t="array" ref="AN17">_xlfn.IFS(AND(AN15="00",AN16="00"),";H",AND(AN15&lt;&gt;"00",AN16&lt;&gt;"00"),CONCATENATE(AN15,"-",AO16,"(",AO15,"-",AN16,")"),AND(AN15="00",AN16&lt;&gt;"00"),CONCATENATE(AN16,"-",AO16),AND(AN15&lt;&gt;"00",AN16="00"),CONCATENATE(AN15,"-",AO15))</f>
        <v>#REF!</v>
      </c>
      <c r="AO17" s="105"/>
      <c r="AP17" s="104" t="e" cm="1">
        <f t="array" ref="AP17">_xlfn.IFS(AND(AP15="00",AP16="00"),";H",AND(AP15&lt;&gt;"00",AP16&lt;&gt;"00"),CONCATENATE(AP15,"-",AQ16,"(",AQ15,"-",AP16,")"),AND(AP15="00",AP16&lt;&gt;"00"),CONCATENATE(AP16,"-",AQ16),AND(AP15&lt;&gt;"00",AP16="00"),CONCATENATE(AP15,"-",AQ15))</f>
        <v>#REF!</v>
      </c>
      <c r="AQ17" s="105"/>
      <c r="AR17" s="104" t="e" cm="1">
        <f t="array" ref="AR17">_xlfn.IFS(AND(AR15="00",AR16="00"),";H",AND(AR15&lt;&gt;"00",AR16&lt;&gt;"00"),CONCATENATE(AR15,"-",AS16,"(",AS15,"-",AR16,")"),AND(AR15="00",AR16&lt;&gt;"00"),CONCATENATE(AR16,"-",AS16),AND(AR15&lt;&gt;"00",AR16="00"),CONCATENATE(AR15,"-",AS15))</f>
        <v>#REF!</v>
      </c>
      <c r="AS17" s="105"/>
      <c r="AT17" s="104" t="e" cm="1">
        <f t="array" ref="AT17">_xlfn.IFS(AND(AT15="00",AT16="00"),";H",AND(AT15&lt;&gt;"00",AT16&lt;&gt;"00"),CONCATENATE(AT15,"-",AU16,"(",AU15,"-",AT16,")"),AND(AT15="00",AT16&lt;&gt;"00"),CONCATENATE(AT16,"-",AU16),AND(AT15&lt;&gt;"00",AT16="00"),CONCATENATE(AT15,"-",AU15))</f>
        <v>#REF!</v>
      </c>
      <c r="AU17" s="105"/>
      <c r="AV17" s="104" t="e" cm="1">
        <f t="array" ref="AV17">_xlfn.IFS(AND(AV15="00",AV16="00"),";H",AND(AV15&lt;&gt;"00",AV16&lt;&gt;"00"),CONCATENATE(AV15,"-",AW16,"(",AW15,"-",AV16,")"),AND(AV15="00",AV16&lt;&gt;"00"),CONCATENATE(AV16,"-",AW16),AND(AV15&lt;&gt;"00",AV16="00"),CONCATENATE(AV15,"-",AW15))</f>
        <v>#REF!</v>
      </c>
      <c r="AW17" s="105"/>
      <c r="AX17" s="104" t="e" cm="1">
        <f t="array" ref="AX17">_xlfn.IFS(AND(AX15="00",AX16="00"),";H",AND(AX15&lt;&gt;"00",AX16&lt;&gt;"00"),CONCATENATE(AX15,"-",AY16,"(",AY15,"-",AX16,")"),AND(AX15="00",AX16&lt;&gt;"00"),CONCATENATE(AX16,"-",AY16),AND(AX15&lt;&gt;"00",AX16="00"),CONCATENATE(AX15,"-",AY15))</f>
        <v>#REF!</v>
      </c>
      <c r="AY17" s="105"/>
      <c r="AZ17" s="104" t="e" cm="1">
        <f t="array" ref="AZ17">_xlfn.IFS(AND(AZ15="00",AZ16="00"),";H",AND(AZ15&lt;&gt;"00",AZ16&lt;&gt;"00"),CONCATENATE(AZ15,"-",BA16,"(",BA15,"-",AZ16,")"),AND(AZ15="00",AZ16&lt;&gt;"00"),CONCATENATE(AZ16,"-",BA16),AND(AZ15&lt;&gt;"00",AZ16="00"),CONCATENATE(AZ15,"-",BA15))</f>
        <v>#REF!</v>
      </c>
      <c r="BA17" s="105"/>
      <c r="BB17" s="104" t="e" cm="1">
        <f t="array" ref="BB17">_xlfn.IFS(AND(BB15="00",BB16="00"),";H",AND(BB15&lt;&gt;"00",BB16&lt;&gt;"00"),CONCATENATE(BB15,"-",BC16,"(",BC15,"-",BB16,")"),AND(BB15="00",BB16&lt;&gt;"00"),CONCATENATE(BB16,"-",BC16),AND(BB15&lt;&gt;"00",BB16="00"),CONCATENATE(BB15,"-",BC15))</f>
        <v>#REF!</v>
      </c>
      <c r="BC17" s="105"/>
      <c r="BD17" s="104" t="e" cm="1">
        <f t="array" ref="BD17">_xlfn.IFS(AND(BD15="00",BD16="00"),";H",AND(BD15&lt;&gt;"00",BD16&lt;&gt;"00"),CONCATENATE(BD15,"-",BE16,"(",BE15,"-",BD16,")"),AND(BD15="00",BD16&lt;&gt;"00"),CONCATENATE(BD16,"-",BE16),AND(BD15&lt;&gt;"00",BD16="00"),CONCATENATE(BD15,"-",BE15))</f>
        <v>#REF!</v>
      </c>
      <c r="BE17" s="105"/>
      <c r="BF17" s="104" t="e" cm="1">
        <f t="array" ref="BF17">_xlfn.IFS(AND(BF15="00",BF16="00"),";H",AND(BF15&lt;&gt;"00",BF16&lt;&gt;"00"),CONCATENATE(BF15,"-",BG16,"(",BG15,"-",BF16,")"),AND(BF15="00",BF16&lt;&gt;"00"),CONCATENATE(BF16,"-",BG16),AND(BF15&lt;&gt;"00",BF16="00"),CONCATENATE(BF15,"-",BG15))</f>
        <v>#REF!</v>
      </c>
      <c r="BG17" s="105"/>
      <c r="BH17" s="104" t="e" cm="1">
        <f t="array" ref="BH17">_xlfn.IFS(AND(BH15="00",BH16="00"),";H",AND(BH15&lt;&gt;"00",BH16&lt;&gt;"00"),CONCATENATE(BH15,"-",BI16,"(",BI15,"-",BH16,")"),AND(BH15="00",BH16&lt;&gt;"00"),CONCATENATE(BH16,"-",BI16),AND(BH15&lt;&gt;"00",BH16="00"),CONCATENATE(BH15,"-",BI15))</f>
        <v>#REF!</v>
      </c>
      <c r="BI17" s="105"/>
      <c r="BJ17" s="104" t="e" cm="1">
        <f t="array" ref="BJ17">_xlfn.IFS(AND(BJ15="00",BJ16="00"),";H",AND(BJ15&lt;&gt;"00",BJ16&lt;&gt;"00"),CONCATENATE(BJ15,"-",BK16,"(",BK15,"-",BJ16,")"),AND(BJ15="00",BJ16&lt;&gt;"00"),CONCATENATE(BJ16,"-",BK16),AND(BJ15&lt;&gt;"00",BJ16="00"),CONCATENATE(BJ15,"-",BK15))</f>
        <v>#REF!</v>
      </c>
      <c r="BK17" s="105"/>
      <c r="BL17" s="104" t="e" cm="1">
        <f t="array" ref="BL17">_xlfn.IFS(AND(BL15="00",BL16="00"),";H",AND(BL15&lt;&gt;"00",BL16&lt;&gt;"00"),CONCATENATE(BL15,"-",BM16,"(",BM15,"-",BL16,")"),AND(BL15="00",BL16&lt;&gt;"00"),CONCATENATE(BL16,"-",BM16),AND(BL15&lt;&gt;"00",BL16="00"),CONCATENATE(BL15,"-",BM15))</f>
        <v>#REF!</v>
      </c>
      <c r="BM17" s="105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ht="15" thickBot="1">
      <c r="A18" s="83"/>
      <c r="B18" s="145" t="e">
        <f>#REF!</f>
        <v>#REF!</v>
      </c>
      <c r="C18" s="93"/>
      <c r="D18" s="23" t="e">
        <f>IF(MOD(#REF!,1)=0,CONCATENATE(#REF!,"00"),CONCATENATE(INT(#REF!),"30"))</f>
        <v>#REF!</v>
      </c>
      <c r="E18" s="24" t="e">
        <f>IF(MOD(#REF!,1)=0,CONCATENATE(#REF!,"00"),CONCATENATE(INT(#REF!),"30"))</f>
        <v>#REF!</v>
      </c>
      <c r="F18" s="23" t="e">
        <f>IF(MOD(#REF!,1)=0,CONCATENATE(#REF!,"00"),CONCATENATE(INT(#REF!),"30"))</f>
        <v>#REF!</v>
      </c>
      <c r="G18" s="24" t="e">
        <f>IF(MOD(#REF!,1)=0,CONCATENATE(#REF!,"00"),CONCATENATE(INT(#REF!),"30"))</f>
        <v>#REF!</v>
      </c>
      <c r="H18" s="23" t="e">
        <f>IF(MOD(#REF!,1)=0,CONCATENATE(#REF!,"00"),CONCATENATE(INT(#REF!),"30"))</f>
        <v>#REF!</v>
      </c>
      <c r="I18" s="24" t="e">
        <f>IF(MOD(#REF!,1)=0,CONCATENATE(#REF!,"00"),CONCATENATE(INT(#REF!),"30"))</f>
        <v>#REF!</v>
      </c>
      <c r="J18" s="23" t="e">
        <f>IF(MOD(#REF!,1)=0,CONCATENATE(#REF!,"00"),CONCATENATE(INT(#REF!),"30"))</f>
        <v>#REF!</v>
      </c>
      <c r="K18" s="24" t="e">
        <f>IF(MOD(#REF!,1)=0,CONCATENATE(#REF!,"00"),CONCATENATE(INT(#REF!),"30"))</f>
        <v>#REF!</v>
      </c>
      <c r="L18" s="23" t="e">
        <f>IF(MOD(#REF!,1)=0,CONCATENATE(#REF!,"00"),CONCATENATE(INT(#REF!),"30"))</f>
        <v>#REF!</v>
      </c>
      <c r="M18" s="24" t="e">
        <f>IF(MOD(#REF!,1)=0,CONCATENATE(#REF!,"00"),CONCATENATE(INT(#REF!),"30"))</f>
        <v>#REF!</v>
      </c>
      <c r="N18" s="23" t="e">
        <f>IF(MOD(#REF!,1)=0,CONCATENATE(#REF!,"00"),CONCATENATE(INT(#REF!),"30"))</f>
        <v>#REF!</v>
      </c>
      <c r="O18" s="24" t="e">
        <f>IF(MOD(#REF!,1)=0,CONCATENATE(#REF!,"00"),CONCATENATE(INT(#REF!),"30"))</f>
        <v>#REF!</v>
      </c>
      <c r="P18" s="23" t="e">
        <f>IF(MOD(#REF!,1)=0,CONCATENATE(#REF!,"00"),CONCATENATE(INT(#REF!),"30"))</f>
        <v>#REF!</v>
      </c>
      <c r="Q18" s="24" t="e">
        <f>IF(MOD(#REF!,1)=0,CONCATENATE(#REF!,"00"),CONCATENATE(INT(#REF!),"30"))</f>
        <v>#REF!</v>
      </c>
      <c r="R18" s="23" t="e">
        <f>IF(MOD(#REF!,1)=0,CONCATENATE(#REF!,"00"),CONCATENATE(INT(#REF!),"30"))</f>
        <v>#REF!</v>
      </c>
      <c r="S18" s="24" t="e">
        <f>IF(MOD(#REF!,1)=0,CONCATENATE(#REF!,"00"),CONCATENATE(INT(#REF!),"30"))</f>
        <v>#REF!</v>
      </c>
      <c r="T18" s="23" t="e">
        <f>IF(MOD(#REF!,1)=0,CONCATENATE(#REF!,"00"),CONCATENATE(INT(#REF!),"30"))</f>
        <v>#REF!</v>
      </c>
      <c r="U18" s="24" t="e">
        <f>IF(MOD(#REF!,1)=0,CONCATENATE(#REF!,"00"),CONCATENATE(INT(#REF!),"30"))</f>
        <v>#REF!</v>
      </c>
      <c r="V18" s="23" t="e">
        <f>IF(MOD(#REF!,1)=0,CONCATENATE(#REF!,"00"),CONCATENATE(INT(#REF!),"30"))</f>
        <v>#REF!</v>
      </c>
      <c r="W18" s="24" t="e">
        <f>IF(MOD(#REF!,1)=0,CONCATENATE(#REF!,"00"),CONCATENATE(INT(#REF!),"30"))</f>
        <v>#REF!</v>
      </c>
      <c r="X18" s="23" t="e">
        <f>IF(MOD(#REF!,1)=0,CONCATENATE(#REF!,"00"),CONCATENATE(INT(#REF!),"30"))</f>
        <v>#REF!</v>
      </c>
      <c r="Y18" s="24" t="e">
        <f>IF(MOD(#REF!,1)=0,CONCATENATE(#REF!,"00"),CONCATENATE(INT(#REF!),"30"))</f>
        <v>#REF!</v>
      </c>
      <c r="Z18" s="23" t="e">
        <f>IF(MOD(#REF!,1)=0,CONCATENATE(#REF!,"00"),CONCATENATE(INT(#REF!),"30"))</f>
        <v>#REF!</v>
      </c>
      <c r="AA18" s="24" t="e">
        <f>IF(MOD(#REF!,1)=0,CONCATENATE(#REF!,"00"),CONCATENATE(INT(#REF!),"30"))</f>
        <v>#REF!</v>
      </c>
      <c r="AB18" s="23" t="e">
        <f>IF(MOD(#REF!,1)=0,CONCATENATE(#REF!,"00"),CONCATENATE(INT(#REF!),"30"))</f>
        <v>#REF!</v>
      </c>
      <c r="AC18" s="24" t="e">
        <f>IF(MOD(#REF!,1)=0,CONCATENATE(#REF!,"00"),CONCATENATE(INT(#REF!),"30"))</f>
        <v>#REF!</v>
      </c>
      <c r="AD18" s="23" t="e">
        <f>IF(MOD(#REF!,1)=0,CONCATENATE(#REF!,"00"),CONCATENATE(INT(#REF!),"30"))</f>
        <v>#REF!</v>
      </c>
      <c r="AE18" s="24" t="e">
        <f>IF(MOD(#REF!,1)=0,CONCATENATE(#REF!,"00"),CONCATENATE(INT(#REF!),"30"))</f>
        <v>#REF!</v>
      </c>
      <c r="AF18" s="23" t="e">
        <f>IF(MOD(#REF!,1)=0,CONCATENATE(#REF!,"00"),CONCATENATE(INT(#REF!),"30"))</f>
        <v>#REF!</v>
      </c>
      <c r="AG18" s="24" t="e">
        <f>IF(MOD(#REF!,1)=0,CONCATENATE(#REF!,"00"),CONCATENATE(INT(#REF!),"30"))</f>
        <v>#REF!</v>
      </c>
      <c r="AH18" s="23" t="e">
        <f>IF(MOD(#REF!,1)=0,CONCATENATE(#REF!,"00"),CONCATENATE(INT(#REF!),"30"))</f>
        <v>#REF!</v>
      </c>
      <c r="AI18" s="24" t="e">
        <f>IF(MOD(#REF!,1)=0,CONCATENATE(#REF!,"00"),CONCATENATE(INT(#REF!),"30"))</f>
        <v>#REF!</v>
      </c>
      <c r="AJ18" s="23" t="e">
        <f>IF(MOD(#REF!,1)=0,CONCATENATE(#REF!,"00"),CONCATENATE(INT(#REF!),"30"))</f>
        <v>#REF!</v>
      </c>
      <c r="AK18" s="24" t="e">
        <f>IF(MOD(#REF!,1)=0,CONCATENATE(#REF!,"00"),CONCATENATE(INT(#REF!),"30"))</f>
        <v>#REF!</v>
      </c>
      <c r="AL18" s="23" t="e">
        <f>IF(MOD(#REF!,1)=0,CONCATENATE(#REF!,"00"),CONCATENATE(INT(#REF!),"30"))</f>
        <v>#REF!</v>
      </c>
      <c r="AM18" s="24" t="e">
        <f>IF(MOD(#REF!,1)=0,CONCATENATE(#REF!,"00"),CONCATENATE(INT(#REF!),"30"))</f>
        <v>#REF!</v>
      </c>
      <c r="AN18" s="23" t="e">
        <f>IF(MOD(#REF!,1)=0,CONCATENATE(#REF!,"00"),CONCATENATE(INT(#REF!),"30"))</f>
        <v>#REF!</v>
      </c>
      <c r="AO18" s="24" t="e">
        <f>IF(MOD(#REF!,1)=0,CONCATENATE(#REF!,"00"),CONCATENATE(INT(#REF!),"30"))</f>
        <v>#REF!</v>
      </c>
      <c r="AP18" s="23" t="e">
        <f>IF(MOD(#REF!,1)=0,CONCATENATE(#REF!,"00"),CONCATENATE(INT(#REF!),"30"))</f>
        <v>#REF!</v>
      </c>
      <c r="AQ18" s="24" t="e">
        <f>IF(MOD(#REF!,1)=0,CONCATENATE(#REF!,"00"),CONCATENATE(INT(#REF!),"30"))</f>
        <v>#REF!</v>
      </c>
      <c r="AR18" s="23" t="e">
        <f>IF(MOD(#REF!,1)=0,CONCATENATE(#REF!,"00"),CONCATENATE(INT(#REF!),"30"))</f>
        <v>#REF!</v>
      </c>
      <c r="AS18" s="24" t="e">
        <f>IF(MOD(#REF!,1)=0,CONCATENATE(#REF!,"00"),CONCATENATE(INT(#REF!),"30"))</f>
        <v>#REF!</v>
      </c>
      <c r="AT18" s="23" t="e">
        <f>IF(MOD(#REF!,1)=0,CONCATENATE(#REF!,"00"),CONCATENATE(INT(#REF!),"30"))</f>
        <v>#REF!</v>
      </c>
      <c r="AU18" s="24" t="e">
        <f>IF(MOD(#REF!,1)=0,CONCATENATE(#REF!,"00"),CONCATENATE(INT(#REF!),"30"))</f>
        <v>#REF!</v>
      </c>
      <c r="AV18" s="23" t="e">
        <f>IF(MOD(#REF!,1)=0,CONCATENATE(#REF!,"00"),CONCATENATE(INT(#REF!),"30"))</f>
        <v>#REF!</v>
      </c>
      <c r="AW18" s="24" t="e">
        <f>IF(MOD(#REF!,1)=0,CONCATENATE(#REF!,"00"),CONCATENATE(INT(#REF!),"30"))</f>
        <v>#REF!</v>
      </c>
      <c r="AX18" s="23" t="e">
        <f>IF(MOD(#REF!,1)=0,CONCATENATE(#REF!,"00"),CONCATENATE(INT(#REF!),"30"))</f>
        <v>#REF!</v>
      </c>
      <c r="AY18" s="24" t="e">
        <f>IF(MOD(#REF!,1)=0,CONCATENATE(#REF!,"00"),CONCATENATE(INT(#REF!),"30"))</f>
        <v>#REF!</v>
      </c>
      <c r="AZ18" s="23" t="e">
        <f>IF(MOD(#REF!,1)=0,CONCATENATE(#REF!,"00"),CONCATENATE(INT(#REF!),"30"))</f>
        <v>#REF!</v>
      </c>
      <c r="BA18" s="24" t="e">
        <f>IF(MOD(#REF!,1)=0,CONCATENATE(#REF!,"00"),CONCATENATE(INT(#REF!),"30"))</f>
        <v>#REF!</v>
      </c>
      <c r="BB18" s="23" t="e">
        <f>IF(MOD(#REF!,1)=0,CONCATENATE(#REF!,"00"),CONCATENATE(INT(#REF!),"30"))</f>
        <v>#REF!</v>
      </c>
      <c r="BC18" s="24" t="e">
        <f>IF(MOD(#REF!,1)=0,CONCATENATE(#REF!,"00"),CONCATENATE(INT(#REF!),"30"))</f>
        <v>#REF!</v>
      </c>
      <c r="BD18" s="23" t="e">
        <f>IF(MOD(#REF!,1)=0,CONCATENATE(#REF!,"00"),CONCATENATE(INT(#REF!),"30"))</f>
        <v>#REF!</v>
      </c>
      <c r="BE18" s="24" t="e">
        <f>IF(MOD(#REF!,1)=0,CONCATENATE(#REF!,"00"),CONCATENATE(INT(#REF!),"30"))</f>
        <v>#REF!</v>
      </c>
      <c r="BF18" s="23" t="e">
        <f>IF(MOD(#REF!,1)=0,CONCATENATE(#REF!,"00"),CONCATENATE(INT(#REF!),"30"))</f>
        <v>#REF!</v>
      </c>
      <c r="BG18" s="24" t="e">
        <f>IF(MOD(#REF!,1)=0,CONCATENATE(#REF!,"00"),CONCATENATE(INT(#REF!),"30"))</f>
        <v>#REF!</v>
      </c>
      <c r="BH18" s="23" t="e">
        <f>IF(MOD(#REF!,1)=0,CONCATENATE(#REF!,"00"),CONCATENATE(INT(#REF!),"30"))</f>
        <v>#REF!</v>
      </c>
      <c r="BI18" s="24" t="e">
        <f>IF(MOD(#REF!,1)=0,CONCATENATE(#REF!,"00"),CONCATENATE(INT(#REF!),"30"))</f>
        <v>#REF!</v>
      </c>
      <c r="BJ18" s="23" t="e">
        <f>IF(MOD(#REF!,1)=0,CONCATENATE(#REF!,"00"),CONCATENATE(INT(#REF!),"30"))</f>
        <v>#REF!</v>
      </c>
      <c r="BK18" s="24" t="e">
        <f>IF(MOD(#REF!,1)=0,CONCATENATE(#REF!,"00"),CONCATENATE(INT(#REF!),"30"))</f>
        <v>#REF!</v>
      </c>
      <c r="BL18" s="23" t="e">
        <f>IF(MOD(#REF!,1)=0,CONCATENATE(#REF!,"00"),CONCATENATE(INT(#REF!),"30"))</f>
        <v>#REF!</v>
      </c>
      <c r="BM18" s="24" t="e">
        <f>IF(MOD(#REF!,1)=0,CONCATENATE(#REF!,"00"),CONCATENATE(INT(#REF!),"30"))</f>
        <v>#REF!</v>
      </c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</row>
    <row r="19" spans="1:81" ht="15" thickBot="1">
      <c r="A19" s="84"/>
      <c r="B19" s="86"/>
      <c r="C19" s="94"/>
      <c r="D19" s="25" t="e">
        <f>IF(MOD(#REF!,1)=0,CONCATENATE(#REF!,"00"),CONCATENATE(INT(#REF!),"30"))</f>
        <v>#REF!</v>
      </c>
      <c r="E19" s="26" t="e">
        <f>IF(MOD(#REF!,1)=0,CONCATENATE(#REF!,"00"),CONCATENATE(INT(#REF!),"30"))</f>
        <v>#REF!</v>
      </c>
      <c r="F19" s="25" t="e">
        <f>IF(MOD(#REF!,1)=0,CONCATENATE(#REF!,"00"),CONCATENATE(INT(#REF!),"30"))</f>
        <v>#REF!</v>
      </c>
      <c r="G19" s="26" t="e">
        <f>IF(MOD(#REF!,1)=0,CONCATENATE(#REF!,"00"),CONCATENATE(INT(#REF!),"30"))</f>
        <v>#REF!</v>
      </c>
      <c r="H19" s="25" t="e">
        <f>IF(MOD(#REF!,1)=0,CONCATENATE(#REF!,"00"),CONCATENATE(INT(#REF!),"30"))</f>
        <v>#REF!</v>
      </c>
      <c r="I19" s="26" t="e">
        <f>IF(MOD(#REF!,1)=0,CONCATENATE(#REF!,"00"),CONCATENATE(INT(#REF!),"30"))</f>
        <v>#REF!</v>
      </c>
      <c r="J19" s="25" t="e">
        <f>IF(MOD(#REF!,1)=0,CONCATENATE(#REF!,"00"),CONCATENATE(INT(#REF!),"30"))</f>
        <v>#REF!</v>
      </c>
      <c r="K19" s="26" t="e">
        <f>IF(MOD(#REF!,1)=0,CONCATENATE(#REF!,"00"),CONCATENATE(INT(#REF!),"30"))</f>
        <v>#REF!</v>
      </c>
      <c r="L19" s="25" t="e">
        <f>IF(MOD(#REF!,1)=0,CONCATENATE(#REF!,"00"),CONCATENATE(INT(#REF!),"30"))</f>
        <v>#REF!</v>
      </c>
      <c r="M19" s="26" t="e">
        <f>IF(MOD(#REF!,1)=0,CONCATENATE(#REF!,"00"),CONCATENATE(INT(#REF!),"30"))</f>
        <v>#REF!</v>
      </c>
      <c r="N19" s="25" t="e">
        <f>IF(MOD(#REF!,1)=0,CONCATENATE(#REF!,"00"),CONCATENATE(INT(#REF!),"30"))</f>
        <v>#REF!</v>
      </c>
      <c r="O19" s="26" t="e">
        <f>IF(MOD(#REF!,1)=0,CONCATENATE(#REF!,"00"),CONCATENATE(INT(#REF!),"30"))</f>
        <v>#REF!</v>
      </c>
      <c r="P19" s="25" t="e">
        <f>IF(MOD(#REF!,1)=0,CONCATENATE(#REF!,"00"),CONCATENATE(INT(#REF!),"30"))</f>
        <v>#REF!</v>
      </c>
      <c r="Q19" s="26" t="e">
        <f>IF(MOD(#REF!,1)=0,CONCATENATE(#REF!,"00"),CONCATENATE(INT(#REF!),"30"))</f>
        <v>#REF!</v>
      </c>
      <c r="R19" s="25" t="e">
        <f>IF(MOD(#REF!,1)=0,CONCATENATE(#REF!,"00"),CONCATENATE(INT(#REF!),"30"))</f>
        <v>#REF!</v>
      </c>
      <c r="S19" s="26" t="e">
        <f>IF(MOD(#REF!,1)=0,CONCATENATE(#REF!,"00"),CONCATENATE(INT(#REF!),"30"))</f>
        <v>#REF!</v>
      </c>
      <c r="T19" s="25" t="e">
        <f>IF(MOD(#REF!,1)=0,CONCATENATE(#REF!,"00"),CONCATENATE(INT(#REF!),"30"))</f>
        <v>#REF!</v>
      </c>
      <c r="U19" s="26" t="e">
        <f>IF(MOD(#REF!,1)=0,CONCATENATE(#REF!,"00"),CONCATENATE(INT(#REF!),"30"))</f>
        <v>#REF!</v>
      </c>
      <c r="V19" s="25" t="e">
        <f>IF(MOD(#REF!,1)=0,CONCATENATE(#REF!,"00"),CONCATENATE(INT(#REF!),"30"))</f>
        <v>#REF!</v>
      </c>
      <c r="W19" s="26" t="e">
        <f>IF(MOD(#REF!,1)=0,CONCATENATE(#REF!,"00"),CONCATENATE(INT(#REF!),"30"))</f>
        <v>#REF!</v>
      </c>
      <c r="X19" s="25" t="e">
        <f>IF(MOD(#REF!,1)=0,CONCATENATE(#REF!,"00"),CONCATENATE(INT(#REF!),"30"))</f>
        <v>#REF!</v>
      </c>
      <c r="Y19" s="26" t="e">
        <f>IF(MOD(#REF!,1)=0,CONCATENATE(#REF!,"00"),CONCATENATE(INT(#REF!),"30"))</f>
        <v>#REF!</v>
      </c>
      <c r="Z19" s="25" t="e">
        <f>IF(MOD(#REF!,1)=0,CONCATENATE(#REF!,"00"),CONCATENATE(INT(#REF!),"30"))</f>
        <v>#REF!</v>
      </c>
      <c r="AA19" s="26" t="e">
        <f>IF(MOD(#REF!,1)=0,CONCATENATE(#REF!,"00"),CONCATENATE(INT(#REF!),"30"))</f>
        <v>#REF!</v>
      </c>
      <c r="AB19" s="25" t="e">
        <f>IF(MOD(#REF!,1)=0,CONCATENATE(#REF!,"00"),CONCATENATE(INT(#REF!),"30"))</f>
        <v>#REF!</v>
      </c>
      <c r="AC19" s="26" t="e">
        <f>IF(MOD(#REF!,1)=0,CONCATENATE(#REF!,"00"),CONCATENATE(INT(#REF!),"30"))</f>
        <v>#REF!</v>
      </c>
      <c r="AD19" s="25" t="e">
        <f>IF(MOD(#REF!,1)=0,CONCATENATE(#REF!,"00"),CONCATENATE(INT(#REF!),"30"))</f>
        <v>#REF!</v>
      </c>
      <c r="AE19" s="26" t="e">
        <f>IF(MOD(#REF!,1)=0,CONCATENATE(#REF!,"00"),CONCATENATE(INT(#REF!),"30"))</f>
        <v>#REF!</v>
      </c>
      <c r="AF19" s="25" t="e">
        <f>IF(MOD(#REF!,1)=0,CONCATENATE(#REF!,"00"),CONCATENATE(INT(#REF!),"30"))</f>
        <v>#REF!</v>
      </c>
      <c r="AG19" s="26" t="e">
        <f>IF(MOD(#REF!,1)=0,CONCATENATE(#REF!,"00"),CONCATENATE(INT(#REF!),"30"))</f>
        <v>#REF!</v>
      </c>
      <c r="AH19" s="25" t="e">
        <f>IF(MOD(#REF!,1)=0,CONCATENATE(#REF!,"00"),CONCATENATE(INT(#REF!),"30"))</f>
        <v>#REF!</v>
      </c>
      <c r="AI19" s="26" t="e">
        <f>IF(MOD(#REF!,1)=0,CONCATENATE(#REF!,"00"),CONCATENATE(INT(#REF!),"30"))</f>
        <v>#REF!</v>
      </c>
      <c r="AJ19" s="25" t="e">
        <f>IF(MOD(#REF!,1)=0,CONCATENATE(#REF!,"00"),CONCATENATE(INT(#REF!),"30"))</f>
        <v>#REF!</v>
      </c>
      <c r="AK19" s="26" t="e">
        <f>IF(MOD(#REF!,1)=0,CONCATENATE(#REF!,"00"),CONCATENATE(INT(#REF!),"30"))</f>
        <v>#REF!</v>
      </c>
      <c r="AL19" s="25" t="e">
        <f>IF(MOD(#REF!,1)=0,CONCATENATE(#REF!,"00"),CONCATENATE(INT(#REF!),"30"))</f>
        <v>#REF!</v>
      </c>
      <c r="AM19" s="26" t="e">
        <f>IF(MOD(#REF!,1)=0,CONCATENATE(#REF!,"00"),CONCATENATE(INT(#REF!),"30"))</f>
        <v>#REF!</v>
      </c>
      <c r="AN19" s="25" t="e">
        <f>IF(MOD(#REF!,1)=0,CONCATENATE(#REF!,"00"),CONCATENATE(INT(#REF!),"30"))</f>
        <v>#REF!</v>
      </c>
      <c r="AO19" s="26" t="e">
        <f>IF(MOD(#REF!,1)=0,CONCATENATE(#REF!,"00"),CONCATENATE(INT(#REF!),"30"))</f>
        <v>#REF!</v>
      </c>
      <c r="AP19" s="25" t="e">
        <f>IF(MOD(#REF!,1)=0,CONCATENATE(#REF!,"00"),CONCATENATE(INT(#REF!),"30"))</f>
        <v>#REF!</v>
      </c>
      <c r="AQ19" s="26" t="e">
        <f>IF(MOD(#REF!,1)=0,CONCATENATE(#REF!,"00"),CONCATENATE(INT(#REF!),"30"))</f>
        <v>#REF!</v>
      </c>
      <c r="AR19" s="25" t="e">
        <f>IF(MOD(#REF!,1)=0,CONCATENATE(#REF!,"00"),CONCATENATE(INT(#REF!),"30"))</f>
        <v>#REF!</v>
      </c>
      <c r="AS19" s="26" t="e">
        <f>IF(MOD(#REF!,1)=0,CONCATENATE(#REF!,"00"),CONCATENATE(INT(#REF!),"30"))</f>
        <v>#REF!</v>
      </c>
      <c r="AT19" s="25" t="e">
        <f>IF(MOD(#REF!,1)=0,CONCATENATE(#REF!,"00"),CONCATENATE(INT(#REF!),"30"))</f>
        <v>#REF!</v>
      </c>
      <c r="AU19" s="26" t="e">
        <f>IF(MOD(#REF!,1)=0,CONCATENATE(#REF!,"00"),CONCATENATE(INT(#REF!),"30"))</f>
        <v>#REF!</v>
      </c>
      <c r="AV19" s="25" t="e">
        <f>IF(MOD(#REF!,1)=0,CONCATENATE(#REF!,"00"),CONCATENATE(INT(#REF!),"30"))</f>
        <v>#REF!</v>
      </c>
      <c r="AW19" s="26" t="e">
        <f>IF(MOD(#REF!,1)=0,CONCATENATE(#REF!,"00"),CONCATENATE(INT(#REF!),"30"))</f>
        <v>#REF!</v>
      </c>
      <c r="AX19" s="25" t="e">
        <f>IF(MOD(#REF!,1)=0,CONCATENATE(#REF!,"00"),CONCATENATE(INT(#REF!),"30"))</f>
        <v>#REF!</v>
      </c>
      <c r="AY19" s="26" t="e">
        <f>IF(MOD(#REF!,1)=0,CONCATENATE(#REF!,"00"),CONCATENATE(INT(#REF!),"30"))</f>
        <v>#REF!</v>
      </c>
      <c r="AZ19" s="25" t="e">
        <f>IF(MOD(#REF!,1)=0,CONCATENATE(#REF!,"00"),CONCATENATE(INT(#REF!),"30"))</f>
        <v>#REF!</v>
      </c>
      <c r="BA19" s="26" t="e">
        <f>IF(MOD(#REF!,1)=0,CONCATENATE(#REF!,"00"),CONCATENATE(INT(#REF!),"30"))</f>
        <v>#REF!</v>
      </c>
      <c r="BB19" s="25" t="e">
        <f>IF(MOD(#REF!,1)=0,CONCATENATE(#REF!,"00"),CONCATENATE(INT(#REF!),"30"))</f>
        <v>#REF!</v>
      </c>
      <c r="BC19" s="26" t="e">
        <f>IF(MOD(#REF!,1)=0,CONCATENATE(#REF!,"00"),CONCATENATE(INT(#REF!),"30"))</f>
        <v>#REF!</v>
      </c>
      <c r="BD19" s="25" t="e">
        <f>IF(MOD(#REF!,1)=0,CONCATENATE(#REF!,"00"),CONCATENATE(INT(#REF!),"30"))</f>
        <v>#REF!</v>
      </c>
      <c r="BE19" s="26" t="e">
        <f>IF(MOD(#REF!,1)=0,CONCATENATE(#REF!,"00"),CONCATENATE(INT(#REF!),"30"))</f>
        <v>#REF!</v>
      </c>
      <c r="BF19" s="25" t="e">
        <f>IF(MOD(#REF!,1)=0,CONCATENATE(#REF!,"00"),CONCATENATE(INT(#REF!),"30"))</f>
        <v>#REF!</v>
      </c>
      <c r="BG19" s="26" t="e">
        <f>IF(MOD(#REF!,1)=0,CONCATENATE(#REF!,"00"),CONCATENATE(INT(#REF!),"30"))</f>
        <v>#REF!</v>
      </c>
      <c r="BH19" s="25" t="e">
        <f>IF(MOD(#REF!,1)=0,CONCATENATE(#REF!,"00"),CONCATENATE(INT(#REF!),"30"))</f>
        <v>#REF!</v>
      </c>
      <c r="BI19" s="26" t="e">
        <f>IF(MOD(#REF!,1)=0,CONCATENATE(#REF!,"00"),CONCATENATE(INT(#REF!),"30"))</f>
        <v>#REF!</v>
      </c>
      <c r="BJ19" s="25" t="e">
        <f>IF(MOD(#REF!,1)=0,CONCATENATE(#REF!,"00"),CONCATENATE(INT(#REF!),"30"))</f>
        <v>#REF!</v>
      </c>
      <c r="BK19" s="26" t="e">
        <f>IF(MOD(#REF!,1)=0,CONCATENATE(#REF!,"00"),CONCATENATE(INT(#REF!),"30"))</f>
        <v>#REF!</v>
      </c>
      <c r="BL19" s="25" t="e">
        <f>IF(MOD(#REF!,1)=0,CONCATENATE(#REF!,"00"),CONCATENATE(INT(#REF!),"30"))</f>
        <v>#REF!</v>
      </c>
      <c r="BM19" s="26" t="e">
        <f>IF(MOD(#REF!,1)=0,CONCATENATE(#REF!,"00"),CONCATENATE(INT(#REF!),"30"))</f>
        <v>#REF!</v>
      </c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ht="40" customHeight="1" thickBot="1">
      <c r="A20" s="47"/>
      <c r="B20" s="84"/>
      <c r="C20" s="95"/>
      <c r="D20" s="104" t="e" cm="1">
        <f t="array" ref="D20">_xlfn.IFS(AND(D18="00",D19="00"),";H",AND(D18&lt;&gt;"00",D19&lt;&gt;"00"),CONCATENATE(D18,"-",E19,"(",E18,"-",D19,")"),AND(D18="00",D19&lt;&gt;"00"),CONCATENATE(D19,"-",E19),AND(D18&lt;&gt;"00",D19="00"),CONCATENATE(D18,"-",E18))</f>
        <v>#REF!</v>
      </c>
      <c r="E20" s="105"/>
      <c r="F20" s="104" t="e" cm="1">
        <f t="array" ref="F20">_xlfn.IFS(AND(F18="00",F19="00"),";H",AND(F18&lt;&gt;"00",F19&lt;&gt;"00"),CONCATENATE(F18,"-",G19,"(",G18,"-",F19,")"),AND(F18="00",F19&lt;&gt;"00"),CONCATENATE(F19,"-",G19),AND(F18&lt;&gt;"00",F19="00"),CONCATENATE(F18,"-",G18))</f>
        <v>#REF!</v>
      </c>
      <c r="G20" s="105"/>
      <c r="H20" s="104" t="e" cm="1">
        <f t="array" ref="H20">_xlfn.IFS(AND(H18="00",H19="00"),";H",AND(H18&lt;&gt;"00",H19&lt;&gt;"00"),CONCATENATE(H18,"-",I19,"(",I18,"-",H19,")"),AND(H18="00",H19&lt;&gt;"00"),CONCATENATE(H19,"-",I19),AND(H18&lt;&gt;"00",H19="00"),CONCATENATE(H18,"-",I18))</f>
        <v>#REF!</v>
      </c>
      <c r="I20" s="105"/>
      <c r="J20" s="104" t="e" cm="1">
        <f t="array" ref="J20">_xlfn.IFS(AND(J18="00",J19="00"),";H",AND(J18&lt;&gt;"00",J19&lt;&gt;"00"),CONCATENATE(J18,"-",K19,"(",K18,"-",J19,")"),AND(J18="00",J19&lt;&gt;"00"),CONCATENATE(J19,"-",K19),AND(J18&lt;&gt;"00",J19="00"),CONCATENATE(J18,"-",K18))</f>
        <v>#REF!</v>
      </c>
      <c r="K20" s="105"/>
      <c r="L20" s="104" t="e" cm="1">
        <f t="array" ref="L20">_xlfn.IFS(AND(L18="00",L19="00"),";H",AND(L18&lt;&gt;"00",L19&lt;&gt;"00"),CONCATENATE(L18,"-",M19,"(",M18,"-",L19,")"),AND(L18="00",L19&lt;&gt;"00"),CONCATENATE(L19,"-",M19),AND(L18&lt;&gt;"00",L19="00"),CONCATENATE(L18,"-",M18))</f>
        <v>#REF!</v>
      </c>
      <c r="M20" s="105"/>
      <c r="N20" s="104" t="e" cm="1">
        <f t="array" ref="N20">_xlfn.IFS(AND(N18="00",N19="00"),";H",AND(N18&lt;&gt;"00",N19&lt;&gt;"00"),CONCATENATE(N18,"-",O19,"(",O18,"-",N19,")"),AND(N18="00",N19&lt;&gt;"00"),CONCATENATE(N19,"-",O19),AND(N18&lt;&gt;"00",N19="00"),CONCATENATE(N18,"-",O18))</f>
        <v>#REF!</v>
      </c>
      <c r="O20" s="105"/>
      <c r="P20" s="104" t="e" cm="1">
        <f t="array" ref="P20">_xlfn.IFS(AND(P18="00",P19="00"),";H",AND(P18&lt;&gt;"00",P19&lt;&gt;"00"),CONCATENATE(P18,"-",Q19,"(",Q18,"-",P19,")"),AND(P18="00",P19&lt;&gt;"00"),CONCATENATE(P19,"-",Q19),AND(P18&lt;&gt;"00",P19="00"),CONCATENATE(P18,"-",Q18))</f>
        <v>#REF!</v>
      </c>
      <c r="Q20" s="105"/>
      <c r="R20" s="104" t="e" cm="1">
        <f t="array" ref="R20">_xlfn.IFS(AND(R18="00",R19="00"),";H",AND(R18&lt;&gt;"00",R19&lt;&gt;"00"),CONCATENATE(R18,"-",S19,"(",S18,"-",R19,")"),AND(R18="00",R19&lt;&gt;"00"),CONCATENATE(R19,"-",S19),AND(R18&lt;&gt;"00",R19="00"),CONCATENATE(R18,"-",S18))</f>
        <v>#REF!</v>
      </c>
      <c r="S20" s="105"/>
      <c r="T20" s="104" t="e" cm="1">
        <f t="array" ref="T20">_xlfn.IFS(AND(T18="00",T19="00"),";H",AND(T18&lt;&gt;"00",T19&lt;&gt;"00"),CONCATENATE(T18,"-",U19,"(",U18,"-",T19,")"),AND(T18="00",T19&lt;&gt;"00"),CONCATENATE(T19,"-",U19),AND(T18&lt;&gt;"00",T19="00"),CONCATENATE(T18,"-",U18))</f>
        <v>#REF!</v>
      </c>
      <c r="U20" s="105"/>
      <c r="V20" s="104" t="e" cm="1">
        <f t="array" ref="V20">_xlfn.IFS(AND(V18="00",V19="00"),";H",AND(V18&lt;&gt;"00",V19&lt;&gt;"00"),CONCATENATE(V18,"-",W19,"(",W18,"-",V19,")"),AND(V18="00",V19&lt;&gt;"00"),CONCATENATE(V19,"-",W19),AND(V18&lt;&gt;"00",V19="00"),CONCATENATE(V18,"-",W18))</f>
        <v>#REF!</v>
      </c>
      <c r="W20" s="105"/>
      <c r="X20" s="104" t="e" cm="1">
        <f t="array" ref="X20">_xlfn.IFS(AND(X18="00",X19="00"),";H",AND(X18&lt;&gt;"00",X19&lt;&gt;"00"),CONCATENATE(X18,"-",Y19,"(",Y18,"-",X19,")"),AND(X18="00",X19&lt;&gt;"00"),CONCATENATE(X19,"-",Y19),AND(X18&lt;&gt;"00",X19="00"),CONCATENATE(X18,"-",Y18))</f>
        <v>#REF!</v>
      </c>
      <c r="Y20" s="105"/>
      <c r="Z20" s="104" t="e" cm="1">
        <f t="array" ref="Z20">_xlfn.IFS(AND(Z18="00",Z19="00"),";H",AND(Z18&lt;&gt;"00",Z19&lt;&gt;"00"),CONCATENATE(Z18,"-",AA19,"(",AA18,"-",Z19,")"),AND(Z18="00",Z19&lt;&gt;"00"),CONCATENATE(Z19,"-",AA19),AND(Z18&lt;&gt;"00",Z19="00"),CONCATENATE(Z18,"-",AA18))</f>
        <v>#REF!</v>
      </c>
      <c r="AA20" s="105"/>
      <c r="AB20" s="104" t="e" cm="1">
        <f t="array" ref="AB20">_xlfn.IFS(AND(AB18="00",AB19="00"),";H",AND(AB18&lt;&gt;"00",AB19&lt;&gt;"00"),CONCATENATE(AB18,"-",AC19,"(",AC18,"-",AB19,")"),AND(AB18="00",AB19&lt;&gt;"00"),CONCATENATE(AB19,"-",AC19),AND(AB18&lt;&gt;"00",AB19="00"),CONCATENATE(AB18,"-",AC18))</f>
        <v>#REF!</v>
      </c>
      <c r="AC20" s="105"/>
      <c r="AD20" s="104" t="e" cm="1">
        <f t="array" ref="AD20">_xlfn.IFS(AND(AD18="00",AD19="00"),";H",AND(AD18&lt;&gt;"00",AD19&lt;&gt;"00"),CONCATENATE(AD18,"-",AE19,"(",AE18,"-",AD19,")"),AND(AD18="00",AD19&lt;&gt;"00"),CONCATENATE(AD19,"-",AE19),AND(AD18&lt;&gt;"00",AD19="00"),CONCATENATE(AD18,"-",AE18))</f>
        <v>#REF!</v>
      </c>
      <c r="AE20" s="105"/>
      <c r="AF20" s="104" t="e" cm="1">
        <f t="array" ref="AF20">_xlfn.IFS(AND(AF18="00",AF19="00"),";H",AND(AF18&lt;&gt;"00",AF19&lt;&gt;"00"),CONCATENATE(AF18,"-",AG19,"(",AG18,"-",AF19,")"),AND(AF18="00",AF19&lt;&gt;"00"),CONCATENATE(AF19,"-",AG19),AND(AF18&lt;&gt;"00",AF19="00"),CONCATENATE(AF18,"-",AG18))</f>
        <v>#REF!</v>
      </c>
      <c r="AG20" s="105"/>
      <c r="AH20" s="104" t="e" cm="1">
        <f t="array" ref="AH20">_xlfn.IFS(AND(AH18="00",AH19="00"),";H",AND(AH18&lt;&gt;"00",AH19&lt;&gt;"00"),CONCATENATE(AH18,"-",AI19,"(",AI18,"-",AH19,")"),AND(AH18="00",AH19&lt;&gt;"00"),CONCATENATE(AH19,"-",AI19),AND(AH18&lt;&gt;"00",AH19="00"),CONCATENATE(AH18,"-",AI18))</f>
        <v>#REF!</v>
      </c>
      <c r="AI20" s="105"/>
      <c r="AJ20" s="104" t="e" cm="1">
        <f t="array" ref="AJ20">_xlfn.IFS(AND(AJ18="00",AJ19="00"),";H",AND(AJ18&lt;&gt;"00",AJ19&lt;&gt;"00"),CONCATENATE(AJ18,"-",AK19,"(",AK18,"-",AJ19,")"),AND(AJ18="00",AJ19&lt;&gt;"00"),CONCATENATE(AJ19,"-",AK19),AND(AJ18&lt;&gt;"00",AJ19="00"),CONCATENATE(AJ18,"-",AK18))</f>
        <v>#REF!</v>
      </c>
      <c r="AK20" s="105"/>
      <c r="AL20" s="104" t="e" cm="1">
        <f t="array" ref="AL20">_xlfn.IFS(AND(AL18="00",AL19="00"),";H",AND(AL18&lt;&gt;"00",AL19&lt;&gt;"00"),CONCATENATE(AL18,"-",AM19,"(",AM18,"-",AL19,")"),AND(AL18="00",AL19&lt;&gt;"00"),CONCATENATE(AL19,"-",AM19),AND(AL18&lt;&gt;"00",AL19="00"),CONCATENATE(AL18,"-",AM18))</f>
        <v>#REF!</v>
      </c>
      <c r="AM20" s="105"/>
      <c r="AN20" s="104" t="e" cm="1">
        <f t="array" ref="AN20">_xlfn.IFS(AND(AN18="00",AN19="00"),";H",AND(AN18&lt;&gt;"00",AN19&lt;&gt;"00"),CONCATENATE(AN18,"-",AO19,"(",AO18,"-",AN19,")"),AND(AN18="00",AN19&lt;&gt;"00"),CONCATENATE(AN19,"-",AO19),AND(AN18&lt;&gt;"00",AN19="00"),CONCATENATE(AN18,"-",AO18))</f>
        <v>#REF!</v>
      </c>
      <c r="AO20" s="105"/>
      <c r="AP20" s="104" t="e" cm="1">
        <f t="array" ref="AP20">_xlfn.IFS(AND(AP18="00",AP19="00"),";H",AND(AP18&lt;&gt;"00",AP19&lt;&gt;"00"),CONCATENATE(AP18,"-",AQ19,"(",AQ18,"-",AP19,")"),AND(AP18="00",AP19&lt;&gt;"00"),CONCATENATE(AP19,"-",AQ19),AND(AP18&lt;&gt;"00",AP19="00"),CONCATENATE(AP18,"-",AQ18))</f>
        <v>#REF!</v>
      </c>
      <c r="AQ20" s="105"/>
      <c r="AR20" s="104" t="e" cm="1">
        <f t="array" ref="AR20">_xlfn.IFS(AND(AR18="00",AR19="00"),";H",AND(AR18&lt;&gt;"00",AR19&lt;&gt;"00"),CONCATENATE(AR18,"-",AS19,"(",AS18,"-",AR19,")"),AND(AR18="00",AR19&lt;&gt;"00"),CONCATENATE(AR19,"-",AS19),AND(AR18&lt;&gt;"00",AR19="00"),CONCATENATE(AR18,"-",AS18))</f>
        <v>#REF!</v>
      </c>
      <c r="AS20" s="105"/>
      <c r="AT20" s="104" t="e" cm="1">
        <f t="array" ref="AT20">_xlfn.IFS(AND(AT18="00",AT19="00"),";H",AND(AT18&lt;&gt;"00",AT19&lt;&gt;"00"),CONCATENATE(AT18,"-",AU19,"(",AU18,"-",AT19,")"),AND(AT18="00",AT19&lt;&gt;"00"),CONCATENATE(AT19,"-",AU19),AND(AT18&lt;&gt;"00",AT19="00"),CONCATENATE(AT18,"-",AU18))</f>
        <v>#REF!</v>
      </c>
      <c r="AU20" s="105"/>
      <c r="AV20" s="104" t="e" cm="1">
        <f t="array" ref="AV20">_xlfn.IFS(AND(AV18="00",AV19="00"),";H",AND(AV18&lt;&gt;"00",AV19&lt;&gt;"00"),CONCATENATE(AV18,"-",AW19,"(",AW18,"-",AV19,")"),AND(AV18="00",AV19&lt;&gt;"00"),CONCATENATE(AV19,"-",AW19),AND(AV18&lt;&gt;"00",AV19="00"),CONCATENATE(AV18,"-",AW18))</f>
        <v>#REF!</v>
      </c>
      <c r="AW20" s="105"/>
      <c r="AX20" s="104" t="e" cm="1">
        <f t="array" ref="AX20">_xlfn.IFS(AND(AX18="00",AX19="00"),";H",AND(AX18&lt;&gt;"00",AX19&lt;&gt;"00"),CONCATENATE(AX18,"-",AY19,"(",AY18,"-",AX19,")"),AND(AX18="00",AX19&lt;&gt;"00"),CONCATENATE(AX19,"-",AY19),AND(AX18&lt;&gt;"00",AX19="00"),CONCATENATE(AX18,"-",AY18))</f>
        <v>#REF!</v>
      </c>
      <c r="AY20" s="105"/>
      <c r="AZ20" s="104" t="e" cm="1">
        <f t="array" ref="AZ20">_xlfn.IFS(AND(AZ18="00",AZ19="00"),";H",AND(AZ18&lt;&gt;"00",AZ19&lt;&gt;"00"),CONCATENATE(AZ18,"-",BA19,"(",BA18,"-",AZ19,")"),AND(AZ18="00",AZ19&lt;&gt;"00"),CONCATENATE(AZ19,"-",BA19),AND(AZ18&lt;&gt;"00",AZ19="00"),CONCATENATE(AZ18,"-",BA18))</f>
        <v>#REF!</v>
      </c>
      <c r="BA20" s="105"/>
      <c r="BB20" s="104" t="e" cm="1">
        <f t="array" ref="BB20">_xlfn.IFS(AND(BB18="00",BB19="00"),";H",AND(BB18&lt;&gt;"00",BB19&lt;&gt;"00"),CONCATENATE(BB18,"-",BC19,"(",BC18,"-",BB19,")"),AND(BB18="00",BB19&lt;&gt;"00"),CONCATENATE(BB19,"-",BC19),AND(BB18&lt;&gt;"00",BB19="00"),CONCATENATE(BB18,"-",BC18))</f>
        <v>#REF!</v>
      </c>
      <c r="BC20" s="105"/>
      <c r="BD20" s="104" t="e" cm="1">
        <f t="array" ref="BD20">_xlfn.IFS(AND(BD18="00",BD19="00"),";H",AND(BD18&lt;&gt;"00",BD19&lt;&gt;"00"),CONCATENATE(BD18,"-",BE19,"(",BE18,"-",BD19,")"),AND(BD18="00",BD19&lt;&gt;"00"),CONCATENATE(BD19,"-",BE19),AND(BD18&lt;&gt;"00",BD19="00"),CONCATENATE(BD18,"-",BE18))</f>
        <v>#REF!</v>
      </c>
      <c r="BE20" s="105"/>
      <c r="BF20" s="104" t="e" cm="1">
        <f t="array" ref="BF20">_xlfn.IFS(AND(BF18="00",BF19="00"),";H",AND(BF18&lt;&gt;"00",BF19&lt;&gt;"00"),CONCATENATE(BF18,"-",BG19,"(",BG18,"-",BF19,")"),AND(BF18="00",BF19&lt;&gt;"00"),CONCATENATE(BF19,"-",BG19),AND(BF18&lt;&gt;"00",BF19="00"),CONCATENATE(BF18,"-",BG18))</f>
        <v>#REF!</v>
      </c>
      <c r="BG20" s="105"/>
      <c r="BH20" s="104" t="e" cm="1">
        <f t="array" ref="BH20">_xlfn.IFS(AND(BH18="00",BH19="00"),";H",AND(BH18&lt;&gt;"00",BH19&lt;&gt;"00"),CONCATENATE(BH18,"-",BI19,"(",BI18,"-",BH19,")"),AND(BH18="00",BH19&lt;&gt;"00"),CONCATENATE(BH19,"-",BI19),AND(BH18&lt;&gt;"00",BH19="00"),CONCATENATE(BH18,"-",BI18))</f>
        <v>#REF!</v>
      </c>
      <c r="BI20" s="105"/>
      <c r="BJ20" s="104" t="e" cm="1">
        <f t="array" ref="BJ20">_xlfn.IFS(AND(BJ18="00",BJ19="00"),";H",AND(BJ18&lt;&gt;"00",BJ19&lt;&gt;"00"),CONCATENATE(BJ18,"-",BK19,"(",BK18,"-",BJ19,")"),AND(BJ18="00",BJ19&lt;&gt;"00"),CONCATENATE(BJ19,"-",BK19),AND(BJ18&lt;&gt;"00",BJ19="00"),CONCATENATE(BJ18,"-",BK18))</f>
        <v>#REF!</v>
      </c>
      <c r="BK20" s="105"/>
      <c r="BL20" s="104" t="e" cm="1">
        <f t="array" ref="BL20">_xlfn.IFS(AND(BL18="00",BL19="00"),";H",AND(BL18&lt;&gt;"00",BL19&lt;&gt;"00"),CONCATENATE(BL18,"-",BM19,"(",BM18,"-",BL19,")"),AND(BL18="00",BL19&lt;&gt;"00"),CONCATENATE(BL19,"-",BM19),AND(BL18&lt;&gt;"00",BL19="00"),CONCATENATE(BL18,"-",BM18))</f>
        <v>#REF!</v>
      </c>
      <c r="BM20" s="105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ht="15" thickBot="1">
      <c r="A21" s="83"/>
      <c r="B21" s="145" t="e">
        <f>#REF!</f>
        <v>#REF!</v>
      </c>
      <c r="C21" s="93"/>
      <c r="D21" s="23" t="e">
        <f>IF(MOD(#REF!,1)=0,CONCATENATE(#REF!,"00"),CONCATENATE(INT(#REF!),"30"))</f>
        <v>#REF!</v>
      </c>
      <c r="E21" s="24" t="e">
        <f>IF(MOD(#REF!,1)=0,CONCATENATE(#REF!,"00"),CONCATENATE(INT(#REF!),"30"))</f>
        <v>#REF!</v>
      </c>
      <c r="F21" s="23" t="e">
        <f>IF(MOD(#REF!,1)=0,CONCATENATE(#REF!,"00"),CONCATENATE(INT(#REF!),"30"))</f>
        <v>#REF!</v>
      </c>
      <c r="G21" s="24" t="e">
        <f>IF(MOD(#REF!,1)=0,CONCATENATE(#REF!,"00"),CONCATENATE(INT(#REF!),"30"))</f>
        <v>#REF!</v>
      </c>
      <c r="H21" s="23" t="e">
        <f>IF(MOD(#REF!,1)=0,CONCATENATE(#REF!,"00"),CONCATENATE(INT(#REF!),"30"))</f>
        <v>#REF!</v>
      </c>
      <c r="I21" s="24" t="e">
        <f>IF(MOD(#REF!,1)=0,CONCATENATE(#REF!,"00"),CONCATENATE(INT(#REF!),"30"))</f>
        <v>#REF!</v>
      </c>
      <c r="J21" s="23" t="e">
        <f>IF(MOD(#REF!,1)=0,CONCATENATE(#REF!,"00"),CONCATENATE(INT(#REF!),"30"))</f>
        <v>#REF!</v>
      </c>
      <c r="K21" s="24" t="e">
        <f>IF(MOD(#REF!,1)=0,CONCATENATE(#REF!,"00"),CONCATENATE(INT(#REF!),"30"))</f>
        <v>#REF!</v>
      </c>
      <c r="L21" s="23" t="e">
        <f>IF(MOD(#REF!,1)=0,CONCATENATE(#REF!,"00"),CONCATENATE(INT(#REF!),"30"))</f>
        <v>#REF!</v>
      </c>
      <c r="M21" s="24" t="e">
        <f>IF(MOD(#REF!,1)=0,CONCATENATE(#REF!,"00"),CONCATENATE(INT(#REF!),"30"))</f>
        <v>#REF!</v>
      </c>
      <c r="N21" s="23" t="e">
        <f>IF(MOD(#REF!,1)=0,CONCATENATE(#REF!,"00"),CONCATENATE(INT(#REF!),"30"))</f>
        <v>#REF!</v>
      </c>
      <c r="O21" s="24" t="e">
        <f>IF(MOD(#REF!,1)=0,CONCATENATE(#REF!,"00"),CONCATENATE(INT(#REF!),"30"))</f>
        <v>#REF!</v>
      </c>
      <c r="P21" s="23" t="e">
        <f>IF(MOD(#REF!,1)=0,CONCATENATE(#REF!,"00"),CONCATENATE(INT(#REF!),"30"))</f>
        <v>#REF!</v>
      </c>
      <c r="Q21" s="24" t="e">
        <f>IF(MOD(#REF!,1)=0,CONCATENATE(#REF!,"00"),CONCATENATE(INT(#REF!),"30"))</f>
        <v>#REF!</v>
      </c>
      <c r="R21" s="23" t="e">
        <f>IF(MOD(#REF!,1)=0,CONCATENATE(#REF!,"00"),CONCATENATE(INT(#REF!),"30"))</f>
        <v>#REF!</v>
      </c>
      <c r="S21" s="24" t="e">
        <f>IF(MOD(#REF!,1)=0,CONCATENATE(#REF!,"00"),CONCATENATE(INT(#REF!),"30"))</f>
        <v>#REF!</v>
      </c>
      <c r="T21" s="23" t="e">
        <f>IF(MOD(#REF!,1)=0,CONCATENATE(#REF!,"00"),CONCATENATE(INT(#REF!),"30"))</f>
        <v>#REF!</v>
      </c>
      <c r="U21" s="24" t="e">
        <f>IF(MOD(#REF!,1)=0,CONCATENATE(#REF!,"00"),CONCATENATE(INT(#REF!),"30"))</f>
        <v>#REF!</v>
      </c>
      <c r="V21" s="23" t="e">
        <f>IF(MOD(#REF!,1)=0,CONCATENATE(#REF!,"00"),CONCATENATE(INT(#REF!),"30"))</f>
        <v>#REF!</v>
      </c>
      <c r="W21" s="24" t="e">
        <f>IF(MOD(#REF!,1)=0,CONCATENATE(#REF!,"00"),CONCATENATE(INT(#REF!),"30"))</f>
        <v>#REF!</v>
      </c>
      <c r="X21" s="23" t="e">
        <f>IF(MOD(#REF!,1)=0,CONCATENATE(#REF!,"00"),CONCATENATE(INT(#REF!),"30"))</f>
        <v>#REF!</v>
      </c>
      <c r="Y21" s="24" t="e">
        <f>IF(MOD(#REF!,1)=0,CONCATENATE(#REF!,"00"),CONCATENATE(INT(#REF!),"30"))</f>
        <v>#REF!</v>
      </c>
      <c r="Z21" s="23" t="e">
        <f>IF(MOD(#REF!,1)=0,CONCATENATE(#REF!,"00"),CONCATENATE(INT(#REF!),"30"))</f>
        <v>#REF!</v>
      </c>
      <c r="AA21" s="24" t="e">
        <f>IF(MOD(#REF!,1)=0,CONCATENATE(#REF!,"00"),CONCATENATE(INT(#REF!),"30"))</f>
        <v>#REF!</v>
      </c>
      <c r="AB21" s="23" t="e">
        <f>IF(MOD(#REF!,1)=0,CONCATENATE(#REF!,"00"),CONCATENATE(INT(#REF!),"30"))</f>
        <v>#REF!</v>
      </c>
      <c r="AC21" s="24" t="e">
        <f>IF(MOD(#REF!,1)=0,CONCATENATE(#REF!,"00"),CONCATENATE(INT(#REF!),"30"))</f>
        <v>#REF!</v>
      </c>
      <c r="AD21" s="23" t="e">
        <f>IF(MOD(#REF!,1)=0,CONCATENATE(#REF!,"00"),CONCATENATE(INT(#REF!),"30"))</f>
        <v>#REF!</v>
      </c>
      <c r="AE21" s="24" t="e">
        <f>IF(MOD(#REF!,1)=0,CONCATENATE(#REF!,"00"),CONCATENATE(INT(#REF!),"30"))</f>
        <v>#REF!</v>
      </c>
      <c r="AF21" s="23" t="e">
        <f>IF(MOD(#REF!,1)=0,CONCATENATE(#REF!,"00"),CONCATENATE(INT(#REF!),"30"))</f>
        <v>#REF!</v>
      </c>
      <c r="AG21" s="24" t="e">
        <f>IF(MOD(#REF!,1)=0,CONCATENATE(#REF!,"00"),CONCATENATE(INT(#REF!),"30"))</f>
        <v>#REF!</v>
      </c>
      <c r="AH21" s="23" t="e">
        <f>IF(MOD(#REF!,1)=0,CONCATENATE(#REF!,"00"),CONCATENATE(INT(#REF!),"30"))</f>
        <v>#REF!</v>
      </c>
      <c r="AI21" s="24" t="e">
        <f>IF(MOD(#REF!,1)=0,CONCATENATE(#REF!,"00"),CONCATENATE(INT(#REF!),"30"))</f>
        <v>#REF!</v>
      </c>
      <c r="AJ21" s="23" t="e">
        <f>IF(MOD(#REF!,1)=0,CONCATENATE(#REF!,"00"),CONCATENATE(INT(#REF!),"30"))</f>
        <v>#REF!</v>
      </c>
      <c r="AK21" s="24" t="e">
        <f>IF(MOD(#REF!,1)=0,CONCATENATE(#REF!,"00"),CONCATENATE(INT(#REF!),"30"))</f>
        <v>#REF!</v>
      </c>
      <c r="AL21" s="23" t="e">
        <f>IF(MOD(#REF!,1)=0,CONCATENATE(#REF!,"00"),CONCATENATE(INT(#REF!),"30"))</f>
        <v>#REF!</v>
      </c>
      <c r="AM21" s="24" t="e">
        <f>IF(MOD(#REF!,1)=0,CONCATENATE(#REF!,"00"),CONCATENATE(INT(#REF!),"30"))</f>
        <v>#REF!</v>
      </c>
      <c r="AN21" s="23" t="e">
        <f>IF(MOD(#REF!,1)=0,CONCATENATE(#REF!,"00"),CONCATENATE(INT(#REF!),"30"))</f>
        <v>#REF!</v>
      </c>
      <c r="AO21" s="24" t="e">
        <f>IF(MOD(#REF!,1)=0,CONCATENATE(#REF!,"00"),CONCATENATE(INT(#REF!),"30"))</f>
        <v>#REF!</v>
      </c>
      <c r="AP21" s="23" t="e">
        <f>IF(MOD(#REF!,1)=0,CONCATENATE(#REF!,"00"),CONCATENATE(INT(#REF!),"30"))</f>
        <v>#REF!</v>
      </c>
      <c r="AQ21" s="24" t="e">
        <f>IF(MOD(#REF!,1)=0,CONCATENATE(#REF!,"00"),CONCATENATE(INT(#REF!),"30"))</f>
        <v>#REF!</v>
      </c>
      <c r="AR21" s="23" t="e">
        <f>IF(MOD(#REF!,1)=0,CONCATENATE(#REF!,"00"),CONCATENATE(INT(#REF!),"30"))</f>
        <v>#REF!</v>
      </c>
      <c r="AS21" s="24" t="e">
        <f>IF(MOD(#REF!,1)=0,CONCATENATE(#REF!,"00"),CONCATENATE(INT(#REF!),"30"))</f>
        <v>#REF!</v>
      </c>
      <c r="AT21" s="23" t="e">
        <f>IF(MOD(#REF!,1)=0,CONCATENATE(#REF!,"00"),CONCATENATE(INT(#REF!),"30"))</f>
        <v>#REF!</v>
      </c>
      <c r="AU21" s="24" t="e">
        <f>IF(MOD(#REF!,1)=0,CONCATENATE(#REF!,"00"),CONCATENATE(INT(#REF!),"30"))</f>
        <v>#REF!</v>
      </c>
      <c r="AV21" s="23" t="e">
        <f>IF(MOD(#REF!,1)=0,CONCATENATE(#REF!,"00"),CONCATENATE(INT(#REF!),"30"))</f>
        <v>#REF!</v>
      </c>
      <c r="AW21" s="24" t="e">
        <f>IF(MOD(#REF!,1)=0,CONCATENATE(#REF!,"00"),CONCATENATE(INT(#REF!),"30"))</f>
        <v>#REF!</v>
      </c>
      <c r="AX21" s="23" t="e">
        <f>IF(MOD(#REF!,1)=0,CONCATENATE(#REF!,"00"),CONCATENATE(INT(#REF!),"30"))</f>
        <v>#REF!</v>
      </c>
      <c r="AY21" s="24" t="e">
        <f>IF(MOD(#REF!,1)=0,CONCATENATE(#REF!,"00"),CONCATENATE(INT(#REF!),"30"))</f>
        <v>#REF!</v>
      </c>
      <c r="AZ21" s="23" t="e">
        <f>IF(MOD(#REF!,1)=0,CONCATENATE(#REF!,"00"),CONCATENATE(INT(#REF!),"30"))</f>
        <v>#REF!</v>
      </c>
      <c r="BA21" s="24" t="e">
        <f>IF(MOD(#REF!,1)=0,CONCATENATE(#REF!,"00"),CONCATENATE(INT(#REF!),"30"))</f>
        <v>#REF!</v>
      </c>
      <c r="BB21" s="23" t="e">
        <f>IF(MOD(#REF!,1)=0,CONCATENATE(#REF!,"00"),CONCATENATE(INT(#REF!),"30"))</f>
        <v>#REF!</v>
      </c>
      <c r="BC21" s="24" t="e">
        <f>IF(MOD(#REF!,1)=0,CONCATENATE(#REF!,"00"),CONCATENATE(INT(#REF!),"30"))</f>
        <v>#REF!</v>
      </c>
      <c r="BD21" s="23" t="e">
        <f>IF(MOD(#REF!,1)=0,CONCATENATE(#REF!,"00"),CONCATENATE(INT(#REF!),"30"))</f>
        <v>#REF!</v>
      </c>
      <c r="BE21" s="24" t="e">
        <f>IF(MOD(#REF!,1)=0,CONCATENATE(#REF!,"00"),CONCATENATE(INT(#REF!),"30"))</f>
        <v>#REF!</v>
      </c>
      <c r="BF21" s="23" t="e">
        <f>IF(MOD(#REF!,1)=0,CONCATENATE(#REF!,"00"),CONCATENATE(INT(#REF!),"30"))</f>
        <v>#REF!</v>
      </c>
      <c r="BG21" s="24" t="e">
        <f>IF(MOD(#REF!,1)=0,CONCATENATE(#REF!,"00"),CONCATENATE(INT(#REF!),"30"))</f>
        <v>#REF!</v>
      </c>
      <c r="BH21" s="23" t="e">
        <f>IF(MOD(#REF!,1)=0,CONCATENATE(#REF!,"00"),CONCATENATE(INT(#REF!),"30"))</f>
        <v>#REF!</v>
      </c>
      <c r="BI21" s="24" t="e">
        <f>IF(MOD(#REF!,1)=0,CONCATENATE(#REF!,"00"),CONCATENATE(INT(#REF!),"30"))</f>
        <v>#REF!</v>
      </c>
      <c r="BJ21" s="23" t="e">
        <f>IF(MOD(#REF!,1)=0,CONCATENATE(#REF!,"00"),CONCATENATE(INT(#REF!),"30"))</f>
        <v>#REF!</v>
      </c>
      <c r="BK21" s="24" t="e">
        <f>IF(MOD(#REF!,1)=0,CONCATENATE(#REF!,"00"),CONCATENATE(INT(#REF!),"30"))</f>
        <v>#REF!</v>
      </c>
      <c r="BL21" s="23" t="e">
        <f>IF(MOD(#REF!,1)=0,CONCATENATE(#REF!,"00"),CONCATENATE(INT(#REF!),"30"))</f>
        <v>#REF!</v>
      </c>
      <c r="BM21" s="24" t="e">
        <f>IF(MOD(#REF!,1)=0,CONCATENATE(#REF!,"00"),CONCATENATE(INT(#REF!),"30"))</f>
        <v>#REF!</v>
      </c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ht="15" thickBot="1">
      <c r="A22" s="84"/>
      <c r="B22" s="86"/>
      <c r="C22" s="94"/>
      <c r="D22" s="25" t="e">
        <f>IF(MOD(#REF!,1)=0,CONCATENATE(#REF!,"00"),CONCATENATE(INT(#REF!),"30"))</f>
        <v>#REF!</v>
      </c>
      <c r="E22" s="26" t="e">
        <f>IF(MOD(#REF!,1)=0,CONCATENATE(#REF!,"00"),CONCATENATE(INT(#REF!),"30"))</f>
        <v>#REF!</v>
      </c>
      <c r="F22" s="25" t="e">
        <f>IF(MOD(#REF!,1)=0,CONCATENATE(#REF!,"00"),CONCATENATE(INT(#REF!),"30"))</f>
        <v>#REF!</v>
      </c>
      <c r="G22" s="26" t="e">
        <f>IF(MOD(#REF!,1)=0,CONCATENATE(#REF!,"00"),CONCATENATE(INT(#REF!),"30"))</f>
        <v>#REF!</v>
      </c>
      <c r="H22" s="25" t="e">
        <f>IF(MOD(#REF!,1)=0,CONCATENATE(#REF!,"00"),CONCATENATE(INT(#REF!),"30"))</f>
        <v>#REF!</v>
      </c>
      <c r="I22" s="26" t="e">
        <f>IF(MOD(#REF!,1)=0,CONCATENATE(#REF!,"00"),CONCATENATE(INT(#REF!),"30"))</f>
        <v>#REF!</v>
      </c>
      <c r="J22" s="25" t="e">
        <f>IF(MOD(#REF!,1)=0,CONCATENATE(#REF!,"00"),CONCATENATE(INT(#REF!),"30"))</f>
        <v>#REF!</v>
      </c>
      <c r="K22" s="26" t="e">
        <f>IF(MOD(#REF!,1)=0,CONCATENATE(#REF!,"00"),CONCATENATE(INT(#REF!),"30"))</f>
        <v>#REF!</v>
      </c>
      <c r="L22" s="25" t="e">
        <f>IF(MOD(#REF!,1)=0,CONCATENATE(#REF!,"00"),CONCATENATE(INT(#REF!),"30"))</f>
        <v>#REF!</v>
      </c>
      <c r="M22" s="26" t="e">
        <f>IF(MOD(#REF!,1)=0,CONCATENATE(#REF!,"00"),CONCATENATE(INT(#REF!),"30"))</f>
        <v>#REF!</v>
      </c>
      <c r="N22" s="25" t="e">
        <f>IF(MOD(#REF!,1)=0,CONCATENATE(#REF!,"00"),CONCATENATE(INT(#REF!),"30"))</f>
        <v>#REF!</v>
      </c>
      <c r="O22" s="26" t="e">
        <f>IF(MOD(#REF!,1)=0,CONCATENATE(#REF!,"00"),CONCATENATE(INT(#REF!),"30"))</f>
        <v>#REF!</v>
      </c>
      <c r="P22" s="25" t="e">
        <f>IF(MOD(#REF!,1)=0,CONCATENATE(#REF!,"00"),CONCATENATE(INT(#REF!),"30"))</f>
        <v>#REF!</v>
      </c>
      <c r="Q22" s="26" t="e">
        <f>IF(MOD(#REF!,1)=0,CONCATENATE(#REF!,"00"),CONCATENATE(INT(#REF!),"30"))</f>
        <v>#REF!</v>
      </c>
      <c r="R22" s="25" t="e">
        <f>IF(MOD(#REF!,1)=0,CONCATENATE(#REF!,"00"),CONCATENATE(INT(#REF!),"30"))</f>
        <v>#REF!</v>
      </c>
      <c r="S22" s="26" t="e">
        <f>IF(MOD(#REF!,1)=0,CONCATENATE(#REF!,"00"),CONCATENATE(INT(#REF!),"30"))</f>
        <v>#REF!</v>
      </c>
      <c r="T22" s="25" t="e">
        <f>IF(MOD(#REF!,1)=0,CONCATENATE(#REF!,"00"),CONCATENATE(INT(#REF!),"30"))</f>
        <v>#REF!</v>
      </c>
      <c r="U22" s="26" t="e">
        <f>IF(MOD(#REF!,1)=0,CONCATENATE(#REF!,"00"),CONCATENATE(INT(#REF!),"30"))</f>
        <v>#REF!</v>
      </c>
      <c r="V22" s="25" t="e">
        <f>IF(MOD(#REF!,1)=0,CONCATENATE(#REF!,"00"),CONCATENATE(INT(#REF!),"30"))</f>
        <v>#REF!</v>
      </c>
      <c r="W22" s="26" t="e">
        <f>IF(MOD(#REF!,1)=0,CONCATENATE(#REF!,"00"),CONCATENATE(INT(#REF!),"30"))</f>
        <v>#REF!</v>
      </c>
      <c r="X22" s="25" t="e">
        <f>IF(MOD(#REF!,1)=0,CONCATENATE(#REF!,"00"),CONCATENATE(INT(#REF!),"30"))</f>
        <v>#REF!</v>
      </c>
      <c r="Y22" s="26" t="e">
        <f>IF(MOD(#REF!,1)=0,CONCATENATE(#REF!,"00"),CONCATENATE(INT(#REF!),"30"))</f>
        <v>#REF!</v>
      </c>
      <c r="Z22" s="25" t="e">
        <f>IF(MOD(#REF!,1)=0,CONCATENATE(#REF!,"00"),CONCATENATE(INT(#REF!),"30"))</f>
        <v>#REF!</v>
      </c>
      <c r="AA22" s="26" t="e">
        <f>IF(MOD(#REF!,1)=0,CONCATENATE(#REF!,"00"),CONCATENATE(INT(#REF!),"30"))</f>
        <v>#REF!</v>
      </c>
      <c r="AB22" s="25" t="e">
        <f>IF(MOD(#REF!,1)=0,CONCATENATE(#REF!,"00"),CONCATENATE(INT(#REF!),"30"))</f>
        <v>#REF!</v>
      </c>
      <c r="AC22" s="26" t="e">
        <f>IF(MOD(#REF!,1)=0,CONCATENATE(#REF!,"00"),CONCATENATE(INT(#REF!),"30"))</f>
        <v>#REF!</v>
      </c>
      <c r="AD22" s="25" t="e">
        <f>IF(MOD(#REF!,1)=0,CONCATENATE(#REF!,"00"),CONCATENATE(INT(#REF!),"30"))</f>
        <v>#REF!</v>
      </c>
      <c r="AE22" s="26" t="e">
        <f>IF(MOD(#REF!,1)=0,CONCATENATE(#REF!,"00"),CONCATENATE(INT(#REF!),"30"))</f>
        <v>#REF!</v>
      </c>
      <c r="AF22" s="25" t="e">
        <f>IF(MOD(#REF!,1)=0,CONCATENATE(#REF!,"00"),CONCATENATE(INT(#REF!),"30"))</f>
        <v>#REF!</v>
      </c>
      <c r="AG22" s="26" t="e">
        <f>IF(MOD(#REF!,1)=0,CONCATENATE(#REF!,"00"),CONCATENATE(INT(#REF!),"30"))</f>
        <v>#REF!</v>
      </c>
      <c r="AH22" s="25" t="e">
        <f>IF(MOD(#REF!,1)=0,CONCATENATE(#REF!,"00"),CONCATENATE(INT(#REF!),"30"))</f>
        <v>#REF!</v>
      </c>
      <c r="AI22" s="26" t="e">
        <f>IF(MOD(#REF!,1)=0,CONCATENATE(#REF!,"00"),CONCATENATE(INT(#REF!),"30"))</f>
        <v>#REF!</v>
      </c>
      <c r="AJ22" s="25" t="e">
        <f>IF(MOD(#REF!,1)=0,CONCATENATE(#REF!,"00"),CONCATENATE(INT(#REF!),"30"))</f>
        <v>#REF!</v>
      </c>
      <c r="AK22" s="26" t="e">
        <f>IF(MOD(#REF!,1)=0,CONCATENATE(#REF!,"00"),CONCATENATE(INT(#REF!),"30"))</f>
        <v>#REF!</v>
      </c>
      <c r="AL22" s="25" t="e">
        <f>IF(MOD(#REF!,1)=0,CONCATENATE(#REF!,"00"),CONCATENATE(INT(#REF!),"30"))</f>
        <v>#REF!</v>
      </c>
      <c r="AM22" s="26" t="e">
        <f>IF(MOD(#REF!,1)=0,CONCATENATE(#REF!,"00"),CONCATENATE(INT(#REF!),"30"))</f>
        <v>#REF!</v>
      </c>
      <c r="AN22" s="25" t="e">
        <f>IF(MOD(#REF!,1)=0,CONCATENATE(#REF!,"00"),CONCATENATE(INT(#REF!),"30"))</f>
        <v>#REF!</v>
      </c>
      <c r="AO22" s="26" t="e">
        <f>IF(MOD(#REF!,1)=0,CONCATENATE(#REF!,"00"),CONCATENATE(INT(#REF!),"30"))</f>
        <v>#REF!</v>
      </c>
      <c r="AP22" s="25" t="e">
        <f>IF(MOD(#REF!,1)=0,CONCATENATE(#REF!,"00"),CONCATENATE(INT(#REF!),"30"))</f>
        <v>#REF!</v>
      </c>
      <c r="AQ22" s="26" t="e">
        <f>IF(MOD(#REF!,1)=0,CONCATENATE(#REF!,"00"),CONCATENATE(INT(#REF!),"30"))</f>
        <v>#REF!</v>
      </c>
      <c r="AR22" s="25" t="e">
        <f>IF(MOD(#REF!,1)=0,CONCATENATE(#REF!,"00"),CONCATENATE(INT(#REF!),"30"))</f>
        <v>#REF!</v>
      </c>
      <c r="AS22" s="26" t="e">
        <f>IF(MOD(#REF!,1)=0,CONCATENATE(#REF!,"00"),CONCATENATE(INT(#REF!),"30"))</f>
        <v>#REF!</v>
      </c>
      <c r="AT22" s="25" t="e">
        <f>IF(MOD(#REF!,1)=0,CONCATENATE(#REF!,"00"),CONCATENATE(INT(#REF!),"30"))</f>
        <v>#REF!</v>
      </c>
      <c r="AU22" s="26" t="e">
        <f>IF(MOD(#REF!,1)=0,CONCATENATE(#REF!,"00"),CONCATENATE(INT(#REF!),"30"))</f>
        <v>#REF!</v>
      </c>
      <c r="AV22" s="25" t="e">
        <f>IF(MOD(#REF!,1)=0,CONCATENATE(#REF!,"00"),CONCATENATE(INT(#REF!),"30"))</f>
        <v>#REF!</v>
      </c>
      <c r="AW22" s="26" t="e">
        <f>IF(MOD(#REF!,1)=0,CONCATENATE(#REF!,"00"),CONCATENATE(INT(#REF!),"30"))</f>
        <v>#REF!</v>
      </c>
      <c r="AX22" s="25" t="e">
        <f>IF(MOD(#REF!,1)=0,CONCATENATE(#REF!,"00"),CONCATENATE(INT(#REF!),"30"))</f>
        <v>#REF!</v>
      </c>
      <c r="AY22" s="26" t="e">
        <f>IF(MOD(#REF!,1)=0,CONCATENATE(#REF!,"00"),CONCATENATE(INT(#REF!),"30"))</f>
        <v>#REF!</v>
      </c>
      <c r="AZ22" s="25" t="e">
        <f>IF(MOD(#REF!,1)=0,CONCATENATE(#REF!,"00"),CONCATENATE(INT(#REF!),"30"))</f>
        <v>#REF!</v>
      </c>
      <c r="BA22" s="26" t="e">
        <f>IF(MOD(#REF!,1)=0,CONCATENATE(#REF!,"00"),CONCATENATE(INT(#REF!),"30"))</f>
        <v>#REF!</v>
      </c>
      <c r="BB22" s="25" t="e">
        <f>IF(MOD(#REF!,1)=0,CONCATENATE(#REF!,"00"),CONCATENATE(INT(#REF!),"30"))</f>
        <v>#REF!</v>
      </c>
      <c r="BC22" s="26" t="e">
        <f>IF(MOD(#REF!,1)=0,CONCATENATE(#REF!,"00"),CONCATENATE(INT(#REF!),"30"))</f>
        <v>#REF!</v>
      </c>
      <c r="BD22" s="25" t="e">
        <f>IF(MOD(#REF!,1)=0,CONCATENATE(#REF!,"00"),CONCATENATE(INT(#REF!),"30"))</f>
        <v>#REF!</v>
      </c>
      <c r="BE22" s="26" t="e">
        <f>IF(MOD(#REF!,1)=0,CONCATENATE(#REF!,"00"),CONCATENATE(INT(#REF!),"30"))</f>
        <v>#REF!</v>
      </c>
      <c r="BF22" s="25" t="e">
        <f>IF(MOD(#REF!,1)=0,CONCATENATE(#REF!,"00"),CONCATENATE(INT(#REF!),"30"))</f>
        <v>#REF!</v>
      </c>
      <c r="BG22" s="26" t="e">
        <f>IF(MOD(#REF!,1)=0,CONCATENATE(#REF!,"00"),CONCATENATE(INT(#REF!),"30"))</f>
        <v>#REF!</v>
      </c>
      <c r="BH22" s="25" t="e">
        <f>IF(MOD(#REF!,1)=0,CONCATENATE(#REF!,"00"),CONCATENATE(INT(#REF!),"30"))</f>
        <v>#REF!</v>
      </c>
      <c r="BI22" s="26" t="e">
        <f>IF(MOD(#REF!,1)=0,CONCATENATE(#REF!,"00"),CONCATENATE(INT(#REF!),"30"))</f>
        <v>#REF!</v>
      </c>
      <c r="BJ22" s="25" t="e">
        <f>IF(MOD(#REF!,1)=0,CONCATENATE(#REF!,"00"),CONCATENATE(INT(#REF!),"30"))</f>
        <v>#REF!</v>
      </c>
      <c r="BK22" s="26" t="e">
        <f>IF(MOD(#REF!,1)=0,CONCATENATE(#REF!,"00"),CONCATENATE(INT(#REF!),"30"))</f>
        <v>#REF!</v>
      </c>
      <c r="BL22" s="25" t="e">
        <f>IF(MOD(#REF!,1)=0,CONCATENATE(#REF!,"00"),CONCATENATE(INT(#REF!),"30"))</f>
        <v>#REF!</v>
      </c>
      <c r="BM22" s="26" t="e">
        <f>IF(MOD(#REF!,1)=0,CONCATENATE(#REF!,"00"),CONCATENATE(INT(#REF!),"30"))</f>
        <v>#REF!</v>
      </c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ht="40" customHeight="1" thickBot="1">
      <c r="A23" s="47"/>
      <c r="B23" s="84"/>
      <c r="C23" s="95"/>
      <c r="D23" s="104" t="e" cm="1">
        <f t="array" ref="D23">_xlfn.IFS(AND(D21="00",D22="00"),";H",AND(D21&lt;&gt;"00",D22&lt;&gt;"00"),CONCATENATE(D21,"-",E22,"(",E21,"-",D22,")"),AND(D21="00",D22&lt;&gt;"00"),CONCATENATE(D22,"-",E22),AND(D21&lt;&gt;"00",D22="00"),CONCATENATE(D21,"-",E21))</f>
        <v>#REF!</v>
      </c>
      <c r="E23" s="105"/>
      <c r="F23" s="104" t="e" cm="1">
        <f t="array" ref="F23">_xlfn.IFS(AND(F21="00",F22="00"),";H",AND(F21&lt;&gt;"00",F22&lt;&gt;"00"),CONCATENATE(F21,"-",G22,"(",G21,"-",F22,")"),AND(F21="00",F22&lt;&gt;"00"),CONCATENATE(F22,"-",G22),AND(F21&lt;&gt;"00",F22="00"),CONCATENATE(F21,"-",G21))</f>
        <v>#REF!</v>
      </c>
      <c r="G23" s="105"/>
      <c r="H23" s="104" t="e" cm="1">
        <f t="array" ref="H23">_xlfn.IFS(AND(H21="00",H22="00"),";H",AND(H21&lt;&gt;"00",H22&lt;&gt;"00"),CONCATENATE(H21,"-",I22,"(",I21,"-",H22,")"),AND(H21="00",H22&lt;&gt;"00"),CONCATENATE(H22,"-",I22),AND(H21&lt;&gt;"00",H22="00"),CONCATENATE(H21,"-",I21))</f>
        <v>#REF!</v>
      </c>
      <c r="I23" s="105"/>
      <c r="J23" s="104" t="e" cm="1">
        <f t="array" ref="J23">_xlfn.IFS(AND(J21="00",J22="00"),";H",AND(J21&lt;&gt;"00",J22&lt;&gt;"00"),CONCATENATE(J21,"-",K22,"(",K21,"-",J22,")"),AND(J21="00",J22&lt;&gt;"00"),CONCATENATE(J22,"-",K22),AND(J21&lt;&gt;"00",J22="00"),CONCATENATE(J21,"-",K21))</f>
        <v>#REF!</v>
      </c>
      <c r="K23" s="105"/>
      <c r="L23" s="104" t="e" cm="1">
        <f t="array" ref="L23">_xlfn.IFS(AND(L21="00",L22="00"),";H",AND(L21&lt;&gt;"00",L22&lt;&gt;"00"),CONCATENATE(L21,"-",M22,"(",M21,"-",L22,")"),AND(L21="00",L22&lt;&gt;"00"),CONCATENATE(L22,"-",M22),AND(L21&lt;&gt;"00",L22="00"),CONCATENATE(L21,"-",M21))</f>
        <v>#REF!</v>
      </c>
      <c r="M23" s="105"/>
      <c r="N23" s="104" t="e" cm="1">
        <f t="array" ref="N23">_xlfn.IFS(AND(N21="00",N22="00"),";H",AND(N21&lt;&gt;"00",N22&lt;&gt;"00"),CONCATENATE(N21,"-",O22,"(",O21,"-",N22,")"),AND(N21="00",N22&lt;&gt;"00"),CONCATENATE(N22,"-",O22),AND(N21&lt;&gt;"00",N22="00"),CONCATENATE(N21,"-",O21))</f>
        <v>#REF!</v>
      </c>
      <c r="O23" s="105"/>
      <c r="P23" s="104" t="e" cm="1">
        <f t="array" ref="P23">_xlfn.IFS(AND(P21="00",P22="00"),";H",AND(P21&lt;&gt;"00",P22&lt;&gt;"00"),CONCATENATE(P21,"-",Q22,"(",Q21,"-",P22,")"),AND(P21="00",P22&lt;&gt;"00"),CONCATENATE(P22,"-",Q22),AND(P21&lt;&gt;"00",P22="00"),CONCATENATE(P21,"-",Q21))</f>
        <v>#REF!</v>
      </c>
      <c r="Q23" s="105"/>
      <c r="R23" s="104" t="e" cm="1">
        <f t="array" ref="R23">_xlfn.IFS(AND(R21="00",R22="00"),";H",AND(R21&lt;&gt;"00",R22&lt;&gt;"00"),CONCATENATE(R21,"-",S22,"(",S21,"-",R22,")"),AND(R21="00",R22&lt;&gt;"00"),CONCATENATE(R22,"-",S22),AND(R21&lt;&gt;"00",R22="00"),CONCATENATE(R21,"-",S21))</f>
        <v>#REF!</v>
      </c>
      <c r="S23" s="105"/>
      <c r="T23" s="104" t="e" cm="1">
        <f t="array" ref="T23">_xlfn.IFS(AND(T21="00",T22="00"),";H",AND(T21&lt;&gt;"00",T22&lt;&gt;"00"),CONCATENATE(T21,"-",U22,"(",U21,"-",T22,")"),AND(T21="00",T22&lt;&gt;"00"),CONCATENATE(T22,"-",U22),AND(T21&lt;&gt;"00",T22="00"),CONCATENATE(T21,"-",U21))</f>
        <v>#REF!</v>
      </c>
      <c r="U23" s="105"/>
      <c r="V23" s="104" t="e" cm="1">
        <f t="array" ref="V23">_xlfn.IFS(AND(V21="00",V22="00"),";H",AND(V21&lt;&gt;"00",V22&lt;&gt;"00"),CONCATENATE(V21,"-",W22,"(",W21,"-",V22,")"),AND(V21="00",V22&lt;&gt;"00"),CONCATENATE(V22,"-",W22),AND(V21&lt;&gt;"00",V22="00"),CONCATENATE(V21,"-",W21))</f>
        <v>#REF!</v>
      </c>
      <c r="W23" s="105"/>
      <c r="X23" s="104" t="e" cm="1">
        <f t="array" ref="X23">_xlfn.IFS(AND(X21="00",X22="00"),";H",AND(X21&lt;&gt;"00",X22&lt;&gt;"00"),CONCATENATE(X21,"-",Y22,"(",Y21,"-",X22,")"),AND(X21="00",X22&lt;&gt;"00"),CONCATENATE(X22,"-",Y22),AND(X21&lt;&gt;"00",X22="00"),CONCATENATE(X21,"-",Y21))</f>
        <v>#REF!</v>
      </c>
      <c r="Y23" s="105"/>
      <c r="Z23" s="104" t="e" cm="1">
        <f t="array" ref="Z23">_xlfn.IFS(AND(Z21="00",Z22="00"),";H",AND(Z21&lt;&gt;"00",Z22&lt;&gt;"00"),CONCATENATE(Z21,"-",AA22,"(",AA21,"-",Z22,")"),AND(Z21="00",Z22&lt;&gt;"00"),CONCATENATE(Z22,"-",AA22),AND(Z21&lt;&gt;"00",Z22="00"),CONCATENATE(Z21,"-",AA21))</f>
        <v>#REF!</v>
      </c>
      <c r="AA23" s="105"/>
      <c r="AB23" s="104" t="e" cm="1">
        <f t="array" ref="AB23">_xlfn.IFS(AND(AB21="00",AB22="00"),";H",AND(AB21&lt;&gt;"00",AB22&lt;&gt;"00"),CONCATENATE(AB21,"-",AC22,"(",AC21,"-",AB22,")"),AND(AB21="00",AB22&lt;&gt;"00"),CONCATENATE(AB22,"-",AC22),AND(AB21&lt;&gt;"00",AB22="00"),CONCATENATE(AB21,"-",AC21))</f>
        <v>#REF!</v>
      </c>
      <c r="AC23" s="105"/>
      <c r="AD23" s="104" t="e" cm="1">
        <f t="array" ref="AD23">_xlfn.IFS(AND(AD21="00",AD22="00"),";H",AND(AD21&lt;&gt;"00",AD22&lt;&gt;"00"),CONCATENATE(AD21,"-",AE22,"(",AE21,"-",AD22,")"),AND(AD21="00",AD22&lt;&gt;"00"),CONCATENATE(AD22,"-",AE22),AND(AD21&lt;&gt;"00",AD22="00"),CONCATENATE(AD21,"-",AE21))</f>
        <v>#REF!</v>
      </c>
      <c r="AE23" s="105"/>
      <c r="AF23" s="104" t="e" cm="1">
        <f t="array" ref="AF23">_xlfn.IFS(AND(AF21="00",AF22="00"),";H",AND(AF21&lt;&gt;"00",AF22&lt;&gt;"00"),CONCATENATE(AF21,"-",AG22,"(",AG21,"-",AF22,")"),AND(AF21="00",AF22&lt;&gt;"00"),CONCATENATE(AF22,"-",AG22),AND(AF21&lt;&gt;"00",AF22="00"),CONCATENATE(AF21,"-",AG21))</f>
        <v>#REF!</v>
      </c>
      <c r="AG23" s="105"/>
      <c r="AH23" s="104" t="e" cm="1">
        <f t="array" ref="AH23">_xlfn.IFS(AND(AH21="00",AH22="00"),";H",AND(AH21&lt;&gt;"00",AH22&lt;&gt;"00"),CONCATENATE(AH21,"-",AI22,"(",AI21,"-",AH22,")"),AND(AH21="00",AH22&lt;&gt;"00"),CONCATENATE(AH22,"-",AI22),AND(AH21&lt;&gt;"00",AH22="00"),CONCATENATE(AH21,"-",AI21))</f>
        <v>#REF!</v>
      </c>
      <c r="AI23" s="105"/>
      <c r="AJ23" s="104" t="e" cm="1">
        <f t="array" ref="AJ23">_xlfn.IFS(AND(AJ21="00",AJ22="00"),";H",AND(AJ21&lt;&gt;"00",AJ22&lt;&gt;"00"),CONCATENATE(AJ21,"-",AK22,"(",AK21,"-",AJ22,")"),AND(AJ21="00",AJ22&lt;&gt;"00"),CONCATENATE(AJ22,"-",AK22),AND(AJ21&lt;&gt;"00",AJ22="00"),CONCATENATE(AJ21,"-",AK21))</f>
        <v>#REF!</v>
      </c>
      <c r="AK23" s="105"/>
      <c r="AL23" s="104" t="e" cm="1">
        <f t="array" ref="AL23">_xlfn.IFS(AND(AL21="00",AL22="00"),";H",AND(AL21&lt;&gt;"00",AL22&lt;&gt;"00"),CONCATENATE(AL21,"-",AM22,"(",AM21,"-",AL22,")"),AND(AL21="00",AL22&lt;&gt;"00"),CONCATENATE(AL22,"-",AM22),AND(AL21&lt;&gt;"00",AL22="00"),CONCATENATE(AL21,"-",AM21))</f>
        <v>#REF!</v>
      </c>
      <c r="AM23" s="105"/>
      <c r="AN23" s="104" t="e" cm="1">
        <f t="array" ref="AN23">_xlfn.IFS(AND(AN21="00",AN22="00"),";H",AND(AN21&lt;&gt;"00",AN22&lt;&gt;"00"),CONCATENATE(AN21,"-",AO22,"(",AO21,"-",AN22,")"),AND(AN21="00",AN22&lt;&gt;"00"),CONCATENATE(AN22,"-",AO22),AND(AN21&lt;&gt;"00",AN22="00"),CONCATENATE(AN21,"-",AO21))</f>
        <v>#REF!</v>
      </c>
      <c r="AO23" s="105"/>
      <c r="AP23" s="104" t="e" cm="1">
        <f t="array" ref="AP23">_xlfn.IFS(AND(AP21="00",AP22="00"),";H",AND(AP21&lt;&gt;"00",AP22&lt;&gt;"00"),CONCATENATE(AP21,"-",AQ22,"(",AQ21,"-",AP22,")"),AND(AP21="00",AP22&lt;&gt;"00"),CONCATENATE(AP22,"-",AQ22),AND(AP21&lt;&gt;"00",AP22="00"),CONCATENATE(AP21,"-",AQ21))</f>
        <v>#REF!</v>
      </c>
      <c r="AQ23" s="105"/>
      <c r="AR23" s="104" t="e" cm="1">
        <f t="array" ref="AR23">_xlfn.IFS(AND(AR21="00",AR22="00"),";H",AND(AR21&lt;&gt;"00",AR22&lt;&gt;"00"),CONCATENATE(AR21,"-",AS22,"(",AS21,"-",AR22,")"),AND(AR21="00",AR22&lt;&gt;"00"),CONCATENATE(AR22,"-",AS22),AND(AR21&lt;&gt;"00",AR22="00"),CONCATENATE(AR21,"-",AS21))</f>
        <v>#REF!</v>
      </c>
      <c r="AS23" s="105"/>
      <c r="AT23" s="104" t="e" cm="1">
        <f t="array" ref="AT23">_xlfn.IFS(AND(AT21="00",AT22="00"),";H",AND(AT21&lt;&gt;"00",AT22&lt;&gt;"00"),CONCATENATE(AT21,"-",AU22,"(",AU21,"-",AT22,")"),AND(AT21="00",AT22&lt;&gt;"00"),CONCATENATE(AT22,"-",AU22),AND(AT21&lt;&gt;"00",AT22="00"),CONCATENATE(AT21,"-",AU21))</f>
        <v>#REF!</v>
      </c>
      <c r="AU23" s="105"/>
      <c r="AV23" s="104" t="e" cm="1">
        <f t="array" ref="AV23">_xlfn.IFS(AND(AV21="00",AV22="00"),";H",AND(AV21&lt;&gt;"00",AV22&lt;&gt;"00"),CONCATENATE(AV21,"-",AW22,"(",AW21,"-",AV22,")"),AND(AV21="00",AV22&lt;&gt;"00"),CONCATENATE(AV22,"-",AW22),AND(AV21&lt;&gt;"00",AV22="00"),CONCATENATE(AV21,"-",AW21))</f>
        <v>#REF!</v>
      </c>
      <c r="AW23" s="105"/>
      <c r="AX23" s="104" t="e" cm="1">
        <f t="array" ref="AX23">_xlfn.IFS(AND(AX21="00",AX22="00"),";H",AND(AX21&lt;&gt;"00",AX22&lt;&gt;"00"),CONCATENATE(AX21,"-",AY22,"(",AY21,"-",AX22,")"),AND(AX21="00",AX22&lt;&gt;"00"),CONCATENATE(AX22,"-",AY22),AND(AX21&lt;&gt;"00",AX22="00"),CONCATENATE(AX21,"-",AY21))</f>
        <v>#REF!</v>
      </c>
      <c r="AY23" s="105"/>
      <c r="AZ23" s="104" t="e" cm="1">
        <f t="array" ref="AZ23">_xlfn.IFS(AND(AZ21="00",AZ22="00"),";H",AND(AZ21&lt;&gt;"00",AZ22&lt;&gt;"00"),CONCATENATE(AZ21,"-",BA22,"(",BA21,"-",AZ22,")"),AND(AZ21="00",AZ22&lt;&gt;"00"),CONCATENATE(AZ22,"-",BA22),AND(AZ21&lt;&gt;"00",AZ22="00"),CONCATENATE(AZ21,"-",BA21))</f>
        <v>#REF!</v>
      </c>
      <c r="BA23" s="105"/>
      <c r="BB23" s="104" t="e" cm="1">
        <f t="array" ref="BB23">_xlfn.IFS(AND(BB21="00",BB22="00"),";H",AND(BB21&lt;&gt;"00",BB22&lt;&gt;"00"),CONCATENATE(BB21,"-",BC22,"(",BC21,"-",BB22,")"),AND(BB21="00",BB22&lt;&gt;"00"),CONCATENATE(BB22,"-",BC22),AND(BB21&lt;&gt;"00",BB22="00"),CONCATENATE(BB21,"-",BC21))</f>
        <v>#REF!</v>
      </c>
      <c r="BC23" s="105"/>
      <c r="BD23" s="104" t="e" cm="1">
        <f t="array" ref="BD23">_xlfn.IFS(AND(BD21="00",BD22="00"),";H",AND(BD21&lt;&gt;"00",BD22&lt;&gt;"00"),CONCATENATE(BD21,"-",BE22,"(",BE21,"-",BD22,")"),AND(BD21="00",BD22&lt;&gt;"00"),CONCATENATE(BD22,"-",BE22),AND(BD21&lt;&gt;"00",BD22="00"),CONCATENATE(BD21,"-",BE21))</f>
        <v>#REF!</v>
      </c>
      <c r="BE23" s="105"/>
      <c r="BF23" s="104" t="e" cm="1">
        <f t="array" ref="BF23">_xlfn.IFS(AND(BF21="00",BF22="00"),";H",AND(BF21&lt;&gt;"00",BF22&lt;&gt;"00"),CONCATENATE(BF21,"-",BG22,"(",BG21,"-",BF22,")"),AND(BF21="00",BF22&lt;&gt;"00"),CONCATENATE(BF22,"-",BG22),AND(BF21&lt;&gt;"00",BF22="00"),CONCATENATE(BF21,"-",BG21))</f>
        <v>#REF!</v>
      </c>
      <c r="BG23" s="105"/>
      <c r="BH23" s="104" t="e" cm="1">
        <f t="array" ref="BH23">_xlfn.IFS(AND(BH21="00",BH22="00"),";H",AND(BH21&lt;&gt;"00",BH22&lt;&gt;"00"),CONCATENATE(BH21,"-",BI22,"(",BI21,"-",BH22,")"),AND(BH21="00",BH22&lt;&gt;"00"),CONCATENATE(BH22,"-",BI22),AND(BH21&lt;&gt;"00",BH22="00"),CONCATENATE(BH21,"-",BI21))</f>
        <v>#REF!</v>
      </c>
      <c r="BI23" s="105"/>
      <c r="BJ23" s="104" t="e" cm="1">
        <f t="array" ref="BJ23">_xlfn.IFS(AND(BJ21="00",BJ22="00"),";H",AND(BJ21&lt;&gt;"00",BJ22&lt;&gt;"00"),CONCATENATE(BJ21,"-",BK22,"(",BK21,"-",BJ22,")"),AND(BJ21="00",BJ22&lt;&gt;"00"),CONCATENATE(BJ22,"-",BK22),AND(BJ21&lt;&gt;"00",BJ22="00"),CONCATENATE(BJ21,"-",BK21))</f>
        <v>#REF!</v>
      </c>
      <c r="BK23" s="105"/>
      <c r="BL23" s="104" t="e" cm="1">
        <f t="array" ref="BL23">_xlfn.IFS(AND(BL21="00",BL22="00"),";H",AND(BL21&lt;&gt;"00",BL22&lt;&gt;"00"),CONCATENATE(BL21,"-",BM22,"(",BM21,"-",BL22,")"),AND(BL21="00",BL22&lt;&gt;"00"),CONCATENATE(BL22,"-",BM22),AND(BL21&lt;&gt;"00",BL22="00"),CONCATENATE(BL21,"-",BM21))</f>
        <v>#REF!</v>
      </c>
      <c r="BM23" s="105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ht="15" thickBot="1">
      <c r="A24" s="83"/>
      <c r="B24" s="145" t="e">
        <f>#REF!</f>
        <v>#REF!</v>
      </c>
      <c r="C24" s="93"/>
      <c r="D24" s="23" t="e">
        <f>IF(MOD(#REF!,1)=0,CONCATENATE(#REF!,"00"),CONCATENATE(INT(#REF!),"30"))</f>
        <v>#REF!</v>
      </c>
      <c r="E24" s="24" t="e">
        <f>IF(MOD(#REF!,1)=0,CONCATENATE(#REF!,"00"),CONCATENATE(INT(#REF!),"30"))</f>
        <v>#REF!</v>
      </c>
      <c r="F24" s="23" t="e">
        <f>IF(MOD(#REF!,1)=0,CONCATENATE(#REF!,"00"),CONCATENATE(INT(#REF!),"30"))</f>
        <v>#REF!</v>
      </c>
      <c r="G24" s="24" t="e">
        <f>IF(MOD(#REF!,1)=0,CONCATENATE(#REF!,"00"),CONCATENATE(INT(#REF!),"30"))</f>
        <v>#REF!</v>
      </c>
      <c r="H24" s="23" t="e">
        <f>IF(MOD(#REF!,1)=0,CONCATENATE(#REF!,"00"),CONCATENATE(INT(#REF!),"30"))</f>
        <v>#REF!</v>
      </c>
      <c r="I24" s="24" t="e">
        <f>IF(MOD(#REF!,1)=0,CONCATENATE(#REF!,"00"),CONCATENATE(INT(#REF!),"30"))</f>
        <v>#REF!</v>
      </c>
      <c r="J24" s="23" t="e">
        <f>IF(MOD(#REF!,1)=0,CONCATENATE(#REF!,"00"),CONCATENATE(INT(#REF!),"30"))</f>
        <v>#REF!</v>
      </c>
      <c r="K24" s="24" t="e">
        <f>IF(MOD(#REF!,1)=0,CONCATENATE(#REF!,"00"),CONCATENATE(INT(#REF!),"30"))</f>
        <v>#REF!</v>
      </c>
      <c r="L24" s="23" t="e">
        <f>IF(MOD(#REF!,1)=0,CONCATENATE(#REF!,"00"),CONCATENATE(INT(#REF!),"30"))</f>
        <v>#REF!</v>
      </c>
      <c r="M24" s="24" t="e">
        <f>IF(MOD(#REF!,1)=0,CONCATENATE(#REF!,"00"),CONCATENATE(INT(#REF!),"30"))</f>
        <v>#REF!</v>
      </c>
      <c r="N24" s="23" t="e">
        <f>IF(MOD(#REF!,1)=0,CONCATENATE(#REF!,"00"),CONCATENATE(INT(#REF!),"30"))</f>
        <v>#REF!</v>
      </c>
      <c r="O24" s="24" t="e">
        <f>IF(MOD(#REF!,1)=0,CONCATENATE(#REF!,"00"),CONCATENATE(INT(#REF!),"30"))</f>
        <v>#REF!</v>
      </c>
      <c r="P24" s="23" t="e">
        <f>IF(MOD(#REF!,1)=0,CONCATENATE(#REF!,"00"),CONCATENATE(INT(#REF!),"30"))</f>
        <v>#REF!</v>
      </c>
      <c r="Q24" s="24" t="e">
        <f>IF(MOD(#REF!,1)=0,CONCATENATE(#REF!,"00"),CONCATENATE(INT(#REF!),"30"))</f>
        <v>#REF!</v>
      </c>
      <c r="R24" s="23" t="e">
        <f>IF(MOD(#REF!,1)=0,CONCATENATE(#REF!,"00"),CONCATENATE(INT(#REF!),"30"))</f>
        <v>#REF!</v>
      </c>
      <c r="S24" s="24" t="e">
        <f>IF(MOD(#REF!,1)=0,CONCATENATE(#REF!,"00"),CONCATENATE(INT(#REF!),"30"))</f>
        <v>#REF!</v>
      </c>
      <c r="T24" s="23" t="e">
        <f>IF(MOD(#REF!,1)=0,CONCATENATE(#REF!,"00"),CONCATENATE(INT(#REF!),"30"))</f>
        <v>#REF!</v>
      </c>
      <c r="U24" s="24" t="e">
        <f>IF(MOD(#REF!,1)=0,CONCATENATE(#REF!,"00"),CONCATENATE(INT(#REF!),"30"))</f>
        <v>#REF!</v>
      </c>
      <c r="V24" s="23" t="e">
        <f>IF(MOD(#REF!,1)=0,CONCATENATE(#REF!,"00"),CONCATENATE(INT(#REF!),"30"))</f>
        <v>#REF!</v>
      </c>
      <c r="W24" s="24" t="e">
        <f>IF(MOD(#REF!,1)=0,CONCATENATE(#REF!,"00"),CONCATENATE(INT(#REF!),"30"))</f>
        <v>#REF!</v>
      </c>
      <c r="X24" s="23" t="e">
        <f>IF(MOD(#REF!,1)=0,CONCATENATE(#REF!,"00"),CONCATENATE(INT(#REF!),"30"))</f>
        <v>#REF!</v>
      </c>
      <c r="Y24" s="24" t="e">
        <f>IF(MOD(#REF!,1)=0,CONCATENATE(#REF!,"00"),CONCATENATE(INT(#REF!),"30"))</f>
        <v>#REF!</v>
      </c>
      <c r="Z24" s="23" t="e">
        <f>IF(MOD(#REF!,1)=0,CONCATENATE(#REF!,"00"),CONCATENATE(INT(#REF!),"30"))</f>
        <v>#REF!</v>
      </c>
      <c r="AA24" s="24" t="e">
        <f>IF(MOD(#REF!,1)=0,CONCATENATE(#REF!,"00"),CONCATENATE(INT(#REF!),"30"))</f>
        <v>#REF!</v>
      </c>
      <c r="AB24" s="23" t="e">
        <f>IF(MOD(#REF!,1)=0,CONCATENATE(#REF!,"00"),CONCATENATE(INT(#REF!),"30"))</f>
        <v>#REF!</v>
      </c>
      <c r="AC24" s="24" t="e">
        <f>IF(MOD(#REF!,1)=0,CONCATENATE(#REF!,"00"),CONCATENATE(INT(#REF!),"30"))</f>
        <v>#REF!</v>
      </c>
      <c r="AD24" s="23" t="e">
        <f>IF(MOD(#REF!,1)=0,CONCATENATE(#REF!,"00"),CONCATENATE(INT(#REF!),"30"))</f>
        <v>#REF!</v>
      </c>
      <c r="AE24" s="24" t="e">
        <f>IF(MOD(#REF!,1)=0,CONCATENATE(#REF!,"00"),CONCATENATE(INT(#REF!),"30"))</f>
        <v>#REF!</v>
      </c>
      <c r="AF24" s="23" t="e">
        <f>IF(MOD(#REF!,1)=0,CONCATENATE(#REF!,"00"),CONCATENATE(INT(#REF!),"30"))</f>
        <v>#REF!</v>
      </c>
      <c r="AG24" s="24" t="e">
        <f>IF(MOD(#REF!,1)=0,CONCATENATE(#REF!,"00"),CONCATENATE(INT(#REF!),"30"))</f>
        <v>#REF!</v>
      </c>
      <c r="AH24" s="23" t="e">
        <f>IF(MOD(#REF!,1)=0,CONCATENATE(#REF!,"00"),CONCATENATE(INT(#REF!),"30"))</f>
        <v>#REF!</v>
      </c>
      <c r="AI24" s="24" t="e">
        <f>IF(MOD(#REF!,1)=0,CONCATENATE(#REF!,"00"),CONCATENATE(INT(#REF!),"30"))</f>
        <v>#REF!</v>
      </c>
      <c r="AJ24" s="23" t="e">
        <f>IF(MOD(#REF!,1)=0,CONCATENATE(#REF!,"00"),CONCATENATE(INT(#REF!),"30"))</f>
        <v>#REF!</v>
      </c>
      <c r="AK24" s="24" t="e">
        <f>IF(MOD(#REF!,1)=0,CONCATENATE(#REF!,"00"),CONCATENATE(INT(#REF!),"30"))</f>
        <v>#REF!</v>
      </c>
      <c r="AL24" s="23" t="e">
        <f>IF(MOD(#REF!,1)=0,CONCATENATE(#REF!,"00"),CONCATENATE(INT(#REF!),"30"))</f>
        <v>#REF!</v>
      </c>
      <c r="AM24" s="24" t="e">
        <f>IF(MOD(#REF!,1)=0,CONCATENATE(#REF!,"00"),CONCATENATE(INT(#REF!),"30"))</f>
        <v>#REF!</v>
      </c>
      <c r="AN24" s="23" t="e">
        <f>IF(MOD(#REF!,1)=0,CONCATENATE(#REF!,"00"),CONCATENATE(INT(#REF!),"30"))</f>
        <v>#REF!</v>
      </c>
      <c r="AO24" s="24" t="e">
        <f>IF(MOD(#REF!,1)=0,CONCATENATE(#REF!,"00"),CONCATENATE(INT(#REF!),"30"))</f>
        <v>#REF!</v>
      </c>
      <c r="AP24" s="23" t="e">
        <f>IF(MOD(#REF!,1)=0,CONCATENATE(#REF!,"00"),CONCATENATE(INT(#REF!),"30"))</f>
        <v>#REF!</v>
      </c>
      <c r="AQ24" s="24" t="e">
        <f>IF(MOD(#REF!,1)=0,CONCATENATE(#REF!,"00"),CONCATENATE(INT(#REF!),"30"))</f>
        <v>#REF!</v>
      </c>
      <c r="AR24" s="23" t="e">
        <f>IF(MOD(#REF!,1)=0,CONCATENATE(#REF!,"00"),CONCATENATE(INT(#REF!),"30"))</f>
        <v>#REF!</v>
      </c>
      <c r="AS24" s="24" t="e">
        <f>IF(MOD(#REF!,1)=0,CONCATENATE(#REF!,"00"),CONCATENATE(INT(#REF!),"30"))</f>
        <v>#REF!</v>
      </c>
      <c r="AT24" s="23" t="e">
        <f>IF(MOD(#REF!,1)=0,CONCATENATE(#REF!,"00"),CONCATENATE(INT(#REF!),"30"))</f>
        <v>#REF!</v>
      </c>
      <c r="AU24" s="24" t="e">
        <f>IF(MOD(#REF!,1)=0,CONCATENATE(#REF!,"00"),CONCATENATE(INT(#REF!),"30"))</f>
        <v>#REF!</v>
      </c>
      <c r="AV24" s="23" t="e">
        <f>IF(MOD(#REF!,1)=0,CONCATENATE(#REF!,"00"),CONCATENATE(INT(#REF!),"30"))</f>
        <v>#REF!</v>
      </c>
      <c r="AW24" s="24" t="e">
        <f>IF(MOD(#REF!,1)=0,CONCATENATE(#REF!,"00"),CONCATENATE(INT(#REF!),"30"))</f>
        <v>#REF!</v>
      </c>
      <c r="AX24" s="23" t="e">
        <f>IF(MOD(#REF!,1)=0,CONCATENATE(#REF!,"00"),CONCATENATE(INT(#REF!),"30"))</f>
        <v>#REF!</v>
      </c>
      <c r="AY24" s="24" t="e">
        <f>IF(MOD(#REF!,1)=0,CONCATENATE(#REF!,"00"),CONCATENATE(INT(#REF!),"30"))</f>
        <v>#REF!</v>
      </c>
      <c r="AZ24" s="23" t="e">
        <f>IF(MOD(#REF!,1)=0,CONCATENATE(#REF!,"00"),CONCATENATE(INT(#REF!),"30"))</f>
        <v>#REF!</v>
      </c>
      <c r="BA24" s="24" t="e">
        <f>IF(MOD(#REF!,1)=0,CONCATENATE(#REF!,"00"),CONCATENATE(INT(#REF!),"30"))</f>
        <v>#REF!</v>
      </c>
      <c r="BB24" s="23" t="e">
        <f>IF(MOD(#REF!,1)=0,CONCATENATE(#REF!,"00"),CONCATENATE(INT(#REF!),"30"))</f>
        <v>#REF!</v>
      </c>
      <c r="BC24" s="24" t="e">
        <f>IF(MOD(#REF!,1)=0,CONCATENATE(#REF!,"00"),CONCATENATE(INT(#REF!),"30"))</f>
        <v>#REF!</v>
      </c>
      <c r="BD24" s="23" t="e">
        <f>IF(MOD(#REF!,1)=0,CONCATENATE(#REF!,"00"),CONCATENATE(INT(#REF!),"30"))</f>
        <v>#REF!</v>
      </c>
      <c r="BE24" s="24" t="e">
        <f>IF(MOD(#REF!,1)=0,CONCATENATE(#REF!,"00"),CONCATENATE(INT(#REF!),"30"))</f>
        <v>#REF!</v>
      </c>
      <c r="BF24" s="23" t="e">
        <f>IF(MOD(#REF!,1)=0,CONCATENATE(#REF!,"00"),CONCATENATE(INT(#REF!),"30"))</f>
        <v>#REF!</v>
      </c>
      <c r="BG24" s="24" t="e">
        <f>IF(MOD(#REF!,1)=0,CONCATENATE(#REF!,"00"),CONCATENATE(INT(#REF!),"30"))</f>
        <v>#REF!</v>
      </c>
      <c r="BH24" s="23" t="e">
        <f>IF(MOD(#REF!,1)=0,CONCATENATE(#REF!,"00"),CONCATENATE(INT(#REF!),"30"))</f>
        <v>#REF!</v>
      </c>
      <c r="BI24" s="24" t="e">
        <f>IF(MOD(#REF!,1)=0,CONCATENATE(#REF!,"00"),CONCATENATE(INT(#REF!),"30"))</f>
        <v>#REF!</v>
      </c>
      <c r="BJ24" s="23" t="e">
        <f>IF(MOD(#REF!,1)=0,CONCATENATE(#REF!,"00"),CONCATENATE(INT(#REF!),"30"))</f>
        <v>#REF!</v>
      </c>
      <c r="BK24" s="24" t="e">
        <f>IF(MOD(#REF!,1)=0,CONCATENATE(#REF!,"00"),CONCATENATE(INT(#REF!),"30"))</f>
        <v>#REF!</v>
      </c>
      <c r="BL24" s="23" t="e">
        <f>IF(MOD(#REF!,1)=0,CONCATENATE(#REF!,"00"),CONCATENATE(INT(#REF!),"30"))</f>
        <v>#REF!</v>
      </c>
      <c r="BM24" s="24" t="e">
        <f>IF(MOD(#REF!,1)=0,CONCATENATE(#REF!,"00"),CONCATENATE(INT(#REF!),"30"))</f>
        <v>#REF!</v>
      </c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ht="15" thickBot="1">
      <c r="A25" s="84"/>
      <c r="B25" s="86"/>
      <c r="C25" s="94"/>
      <c r="D25" s="25" t="e">
        <f>IF(MOD(#REF!,1)=0,CONCATENATE(#REF!,"00"),CONCATENATE(INT(#REF!),"30"))</f>
        <v>#REF!</v>
      </c>
      <c r="E25" s="26" t="e">
        <f>IF(MOD(#REF!,1)=0,CONCATENATE(#REF!,"00"),CONCATENATE(INT(#REF!),"30"))</f>
        <v>#REF!</v>
      </c>
      <c r="F25" s="25" t="e">
        <f>IF(MOD(#REF!,1)=0,CONCATENATE(#REF!,"00"),CONCATENATE(INT(#REF!),"30"))</f>
        <v>#REF!</v>
      </c>
      <c r="G25" s="26" t="e">
        <f>IF(MOD(#REF!,1)=0,CONCATENATE(#REF!,"00"),CONCATENATE(INT(#REF!),"30"))</f>
        <v>#REF!</v>
      </c>
      <c r="H25" s="25" t="e">
        <f>IF(MOD(#REF!,1)=0,CONCATENATE(#REF!,"00"),CONCATENATE(INT(#REF!),"30"))</f>
        <v>#REF!</v>
      </c>
      <c r="I25" s="26" t="e">
        <f>IF(MOD(#REF!,1)=0,CONCATENATE(#REF!,"00"),CONCATENATE(INT(#REF!),"30"))</f>
        <v>#REF!</v>
      </c>
      <c r="J25" s="25" t="e">
        <f>IF(MOD(#REF!,1)=0,CONCATENATE(#REF!,"00"),CONCATENATE(INT(#REF!),"30"))</f>
        <v>#REF!</v>
      </c>
      <c r="K25" s="26" t="e">
        <f>IF(MOD(#REF!,1)=0,CONCATENATE(#REF!,"00"),CONCATENATE(INT(#REF!),"30"))</f>
        <v>#REF!</v>
      </c>
      <c r="L25" s="25" t="e">
        <f>IF(MOD(#REF!,1)=0,CONCATENATE(#REF!,"00"),CONCATENATE(INT(#REF!),"30"))</f>
        <v>#REF!</v>
      </c>
      <c r="M25" s="26" t="e">
        <f>IF(MOD(#REF!,1)=0,CONCATENATE(#REF!,"00"),CONCATENATE(INT(#REF!),"30"))</f>
        <v>#REF!</v>
      </c>
      <c r="N25" s="25" t="e">
        <f>IF(MOD(#REF!,1)=0,CONCATENATE(#REF!,"00"),CONCATENATE(INT(#REF!),"30"))</f>
        <v>#REF!</v>
      </c>
      <c r="O25" s="26" t="e">
        <f>IF(MOD(#REF!,1)=0,CONCATENATE(#REF!,"00"),CONCATENATE(INT(#REF!),"30"))</f>
        <v>#REF!</v>
      </c>
      <c r="P25" s="25" t="e">
        <f>IF(MOD(#REF!,1)=0,CONCATENATE(#REF!,"00"),CONCATENATE(INT(#REF!),"30"))</f>
        <v>#REF!</v>
      </c>
      <c r="Q25" s="26" t="e">
        <f>IF(MOD(#REF!,1)=0,CONCATENATE(#REF!,"00"),CONCATENATE(INT(#REF!),"30"))</f>
        <v>#REF!</v>
      </c>
      <c r="R25" s="25" t="e">
        <f>IF(MOD(#REF!,1)=0,CONCATENATE(#REF!,"00"),CONCATENATE(INT(#REF!),"30"))</f>
        <v>#REF!</v>
      </c>
      <c r="S25" s="26" t="e">
        <f>IF(MOD(#REF!,1)=0,CONCATENATE(#REF!,"00"),CONCATENATE(INT(#REF!),"30"))</f>
        <v>#REF!</v>
      </c>
      <c r="T25" s="25" t="e">
        <f>IF(MOD(#REF!,1)=0,CONCATENATE(#REF!,"00"),CONCATENATE(INT(#REF!),"30"))</f>
        <v>#REF!</v>
      </c>
      <c r="U25" s="26" t="e">
        <f>IF(MOD(#REF!,1)=0,CONCATENATE(#REF!,"00"),CONCATENATE(INT(#REF!),"30"))</f>
        <v>#REF!</v>
      </c>
      <c r="V25" s="25" t="e">
        <f>IF(MOD(#REF!,1)=0,CONCATENATE(#REF!,"00"),CONCATENATE(INT(#REF!),"30"))</f>
        <v>#REF!</v>
      </c>
      <c r="W25" s="26" t="e">
        <f>IF(MOD(#REF!,1)=0,CONCATENATE(#REF!,"00"),CONCATENATE(INT(#REF!),"30"))</f>
        <v>#REF!</v>
      </c>
      <c r="X25" s="25" t="e">
        <f>IF(MOD(#REF!,1)=0,CONCATENATE(#REF!,"00"),CONCATENATE(INT(#REF!),"30"))</f>
        <v>#REF!</v>
      </c>
      <c r="Y25" s="26" t="e">
        <f>IF(MOD(#REF!,1)=0,CONCATENATE(#REF!,"00"),CONCATENATE(INT(#REF!),"30"))</f>
        <v>#REF!</v>
      </c>
      <c r="Z25" s="25" t="e">
        <f>IF(MOD(#REF!,1)=0,CONCATENATE(#REF!,"00"),CONCATENATE(INT(#REF!),"30"))</f>
        <v>#REF!</v>
      </c>
      <c r="AA25" s="26" t="e">
        <f>IF(MOD(#REF!,1)=0,CONCATENATE(#REF!,"00"),CONCATENATE(INT(#REF!),"30"))</f>
        <v>#REF!</v>
      </c>
      <c r="AB25" s="25" t="e">
        <f>IF(MOD(#REF!,1)=0,CONCATENATE(#REF!,"00"),CONCATENATE(INT(#REF!),"30"))</f>
        <v>#REF!</v>
      </c>
      <c r="AC25" s="26" t="e">
        <f>IF(MOD(#REF!,1)=0,CONCATENATE(#REF!,"00"),CONCATENATE(INT(#REF!),"30"))</f>
        <v>#REF!</v>
      </c>
      <c r="AD25" s="25" t="e">
        <f>IF(MOD(#REF!,1)=0,CONCATENATE(#REF!,"00"),CONCATENATE(INT(#REF!),"30"))</f>
        <v>#REF!</v>
      </c>
      <c r="AE25" s="26" t="e">
        <f>IF(MOD(#REF!,1)=0,CONCATENATE(#REF!,"00"),CONCATENATE(INT(#REF!),"30"))</f>
        <v>#REF!</v>
      </c>
      <c r="AF25" s="25" t="e">
        <f>IF(MOD(#REF!,1)=0,CONCATENATE(#REF!,"00"),CONCATENATE(INT(#REF!),"30"))</f>
        <v>#REF!</v>
      </c>
      <c r="AG25" s="26" t="e">
        <f>IF(MOD(#REF!,1)=0,CONCATENATE(#REF!,"00"),CONCATENATE(INT(#REF!),"30"))</f>
        <v>#REF!</v>
      </c>
      <c r="AH25" s="25" t="e">
        <f>IF(MOD(#REF!,1)=0,CONCATENATE(#REF!,"00"),CONCATENATE(INT(#REF!),"30"))</f>
        <v>#REF!</v>
      </c>
      <c r="AI25" s="26" t="e">
        <f>IF(MOD(#REF!,1)=0,CONCATENATE(#REF!,"00"),CONCATENATE(INT(#REF!),"30"))</f>
        <v>#REF!</v>
      </c>
      <c r="AJ25" s="25" t="e">
        <f>IF(MOD(#REF!,1)=0,CONCATENATE(#REF!,"00"),CONCATENATE(INT(#REF!),"30"))</f>
        <v>#REF!</v>
      </c>
      <c r="AK25" s="26" t="e">
        <f>IF(MOD(#REF!,1)=0,CONCATENATE(#REF!,"00"),CONCATENATE(INT(#REF!),"30"))</f>
        <v>#REF!</v>
      </c>
      <c r="AL25" s="25" t="e">
        <f>IF(MOD(#REF!,1)=0,CONCATENATE(#REF!,"00"),CONCATENATE(INT(#REF!),"30"))</f>
        <v>#REF!</v>
      </c>
      <c r="AM25" s="26" t="e">
        <f>IF(MOD(#REF!,1)=0,CONCATENATE(#REF!,"00"),CONCATENATE(INT(#REF!),"30"))</f>
        <v>#REF!</v>
      </c>
      <c r="AN25" s="25" t="e">
        <f>IF(MOD(#REF!,1)=0,CONCATENATE(#REF!,"00"),CONCATENATE(INT(#REF!),"30"))</f>
        <v>#REF!</v>
      </c>
      <c r="AO25" s="26" t="e">
        <f>IF(MOD(#REF!,1)=0,CONCATENATE(#REF!,"00"),CONCATENATE(INT(#REF!),"30"))</f>
        <v>#REF!</v>
      </c>
      <c r="AP25" s="25" t="e">
        <f>IF(MOD(#REF!,1)=0,CONCATENATE(#REF!,"00"),CONCATENATE(INT(#REF!),"30"))</f>
        <v>#REF!</v>
      </c>
      <c r="AQ25" s="26" t="e">
        <f>IF(MOD(#REF!,1)=0,CONCATENATE(#REF!,"00"),CONCATENATE(INT(#REF!),"30"))</f>
        <v>#REF!</v>
      </c>
      <c r="AR25" s="25" t="e">
        <f>IF(MOD(#REF!,1)=0,CONCATENATE(#REF!,"00"),CONCATENATE(INT(#REF!),"30"))</f>
        <v>#REF!</v>
      </c>
      <c r="AS25" s="26" t="e">
        <f>IF(MOD(#REF!,1)=0,CONCATENATE(#REF!,"00"),CONCATENATE(INT(#REF!),"30"))</f>
        <v>#REF!</v>
      </c>
      <c r="AT25" s="25" t="e">
        <f>IF(MOD(#REF!,1)=0,CONCATENATE(#REF!,"00"),CONCATENATE(INT(#REF!),"30"))</f>
        <v>#REF!</v>
      </c>
      <c r="AU25" s="26" t="e">
        <f>IF(MOD(#REF!,1)=0,CONCATENATE(#REF!,"00"),CONCATENATE(INT(#REF!),"30"))</f>
        <v>#REF!</v>
      </c>
      <c r="AV25" s="25" t="e">
        <f>IF(MOD(#REF!,1)=0,CONCATENATE(#REF!,"00"),CONCATENATE(INT(#REF!),"30"))</f>
        <v>#REF!</v>
      </c>
      <c r="AW25" s="26" t="e">
        <f>IF(MOD(#REF!,1)=0,CONCATENATE(#REF!,"00"),CONCATENATE(INT(#REF!),"30"))</f>
        <v>#REF!</v>
      </c>
      <c r="AX25" s="25" t="e">
        <f>IF(MOD(#REF!,1)=0,CONCATENATE(#REF!,"00"),CONCATENATE(INT(#REF!),"30"))</f>
        <v>#REF!</v>
      </c>
      <c r="AY25" s="26" t="e">
        <f>IF(MOD(#REF!,1)=0,CONCATENATE(#REF!,"00"),CONCATENATE(INT(#REF!),"30"))</f>
        <v>#REF!</v>
      </c>
      <c r="AZ25" s="25" t="e">
        <f>IF(MOD(#REF!,1)=0,CONCATENATE(#REF!,"00"),CONCATENATE(INT(#REF!),"30"))</f>
        <v>#REF!</v>
      </c>
      <c r="BA25" s="26" t="e">
        <f>IF(MOD(#REF!,1)=0,CONCATENATE(#REF!,"00"),CONCATENATE(INT(#REF!),"30"))</f>
        <v>#REF!</v>
      </c>
      <c r="BB25" s="25" t="e">
        <f>IF(MOD(#REF!,1)=0,CONCATENATE(#REF!,"00"),CONCATENATE(INT(#REF!),"30"))</f>
        <v>#REF!</v>
      </c>
      <c r="BC25" s="26" t="e">
        <f>IF(MOD(#REF!,1)=0,CONCATENATE(#REF!,"00"),CONCATENATE(INT(#REF!),"30"))</f>
        <v>#REF!</v>
      </c>
      <c r="BD25" s="25" t="e">
        <f>IF(MOD(#REF!,1)=0,CONCATENATE(#REF!,"00"),CONCATENATE(INT(#REF!),"30"))</f>
        <v>#REF!</v>
      </c>
      <c r="BE25" s="26" t="e">
        <f>IF(MOD(#REF!,1)=0,CONCATENATE(#REF!,"00"),CONCATENATE(INT(#REF!),"30"))</f>
        <v>#REF!</v>
      </c>
      <c r="BF25" s="25" t="e">
        <f>IF(MOD(#REF!,1)=0,CONCATENATE(#REF!,"00"),CONCATENATE(INT(#REF!),"30"))</f>
        <v>#REF!</v>
      </c>
      <c r="BG25" s="26" t="e">
        <f>IF(MOD(#REF!,1)=0,CONCATENATE(#REF!,"00"),CONCATENATE(INT(#REF!),"30"))</f>
        <v>#REF!</v>
      </c>
      <c r="BH25" s="25" t="e">
        <f>IF(MOD(#REF!,1)=0,CONCATENATE(#REF!,"00"),CONCATENATE(INT(#REF!),"30"))</f>
        <v>#REF!</v>
      </c>
      <c r="BI25" s="26" t="e">
        <f>IF(MOD(#REF!,1)=0,CONCATENATE(#REF!,"00"),CONCATENATE(INT(#REF!),"30"))</f>
        <v>#REF!</v>
      </c>
      <c r="BJ25" s="25" t="e">
        <f>IF(MOD(#REF!,1)=0,CONCATENATE(#REF!,"00"),CONCATENATE(INT(#REF!),"30"))</f>
        <v>#REF!</v>
      </c>
      <c r="BK25" s="26" t="e">
        <f>IF(MOD(#REF!,1)=0,CONCATENATE(#REF!,"00"),CONCATENATE(INT(#REF!),"30"))</f>
        <v>#REF!</v>
      </c>
      <c r="BL25" s="25" t="e">
        <f>IF(MOD(#REF!,1)=0,CONCATENATE(#REF!,"00"),CONCATENATE(INT(#REF!),"30"))</f>
        <v>#REF!</v>
      </c>
      <c r="BM25" s="26" t="e">
        <f>IF(MOD(#REF!,1)=0,CONCATENATE(#REF!,"00"),CONCATENATE(INT(#REF!),"30"))</f>
        <v>#REF!</v>
      </c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ht="40" customHeight="1" thickBot="1">
      <c r="A26" s="47"/>
      <c r="B26" s="84"/>
      <c r="C26" s="95"/>
      <c r="D26" s="104" t="e" cm="1">
        <f t="array" ref="D26">_xlfn.IFS(AND(D24="00",D25="00"),";H",AND(D24&lt;&gt;"00",D25&lt;&gt;"00"),CONCATENATE(D24,"-",E25,"(",E24,"-",D25,")"),AND(D24="00",D25&lt;&gt;"00"),CONCATENATE(D25,"-",E25),AND(D24&lt;&gt;"00",D25="00"),CONCATENATE(D24,"-",E24))</f>
        <v>#REF!</v>
      </c>
      <c r="E26" s="105"/>
      <c r="F26" s="104" t="e" cm="1">
        <f t="array" ref="F26">_xlfn.IFS(AND(F24="00",F25="00"),";H",AND(F24&lt;&gt;"00",F25&lt;&gt;"00"),CONCATENATE(F24,"-",G25,"(",G24,"-",F25,")"),AND(F24="00",F25&lt;&gt;"00"),CONCATENATE(F25,"-",G25),AND(F24&lt;&gt;"00",F25="00"),CONCATENATE(F24,"-",G24))</f>
        <v>#REF!</v>
      </c>
      <c r="G26" s="105"/>
      <c r="H26" s="104" t="e" cm="1">
        <f t="array" ref="H26">_xlfn.IFS(AND(H24="00",H25="00"),";H",AND(H24&lt;&gt;"00",H25&lt;&gt;"00"),CONCATENATE(H24,"-",I25,"(",I24,"-",H25,")"),AND(H24="00",H25&lt;&gt;"00"),CONCATENATE(H25,"-",I25),AND(H24&lt;&gt;"00",H25="00"),CONCATENATE(H24,"-",I24))</f>
        <v>#REF!</v>
      </c>
      <c r="I26" s="105"/>
      <c r="J26" s="104" t="e" cm="1">
        <f t="array" ref="J26">_xlfn.IFS(AND(J24="00",J25="00"),";H",AND(J24&lt;&gt;"00",J25&lt;&gt;"00"),CONCATENATE(J24,"-",K25,"(",K24,"-",J25,")"),AND(J24="00",J25&lt;&gt;"00"),CONCATENATE(J25,"-",K25),AND(J24&lt;&gt;"00",J25="00"),CONCATENATE(J24,"-",K24))</f>
        <v>#REF!</v>
      </c>
      <c r="K26" s="105"/>
      <c r="L26" s="104" t="e" cm="1">
        <f t="array" ref="L26">_xlfn.IFS(AND(L24="00",L25="00"),";H",AND(L24&lt;&gt;"00",L25&lt;&gt;"00"),CONCATENATE(L24,"-",M25,"(",M24,"-",L25,")"),AND(L24="00",L25&lt;&gt;"00"),CONCATENATE(L25,"-",M25),AND(L24&lt;&gt;"00",L25="00"),CONCATENATE(L24,"-",M24))</f>
        <v>#REF!</v>
      </c>
      <c r="M26" s="105"/>
      <c r="N26" s="104" t="e" cm="1">
        <f t="array" ref="N26">_xlfn.IFS(AND(N24="00",N25="00"),";H",AND(N24&lt;&gt;"00",N25&lt;&gt;"00"),CONCATENATE(N24,"-",O25,"(",O24,"-",N25,")"),AND(N24="00",N25&lt;&gt;"00"),CONCATENATE(N25,"-",O25),AND(N24&lt;&gt;"00",N25="00"),CONCATENATE(N24,"-",O24))</f>
        <v>#REF!</v>
      </c>
      <c r="O26" s="105"/>
      <c r="P26" s="104" t="e" cm="1">
        <f t="array" ref="P26">_xlfn.IFS(AND(P24="00",P25="00"),";H",AND(P24&lt;&gt;"00",P25&lt;&gt;"00"),CONCATENATE(P24,"-",Q25,"(",Q24,"-",P25,")"),AND(P24="00",P25&lt;&gt;"00"),CONCATENATE(P25,"-",Q25),AND(P24&lt;&gt;"00",P25="00"),CONCATENATE(P24,"-",Q24))</f>
        <v>#REF!</v>
      </c>
      <c r="Q26" s="105"/>
      <c r="R26" s="104" t="e" cm="1">
        <f t="array" ref="R26">_xlfn.IFS(AND(R24="00",R25="00"),";H",AND(R24&lt;&gt;"00",R25&lt;&gt;"00"),CONCATENATE(R24,"-",S25,"(",S24,"-",R25,")"),AND(R24="00",R25&lt;&gt;"00"),CONCATENATE(R25,"-",S25),AND(R24&lt;&gt;"00",R25="00"),CONCATENATE(R24,"-",S24))</f>
        <v>#REF!</v>
      </c>
      <c r="S26" s="105"/>
      <c r="T26" s="104" t="e" cm="1">
        <f t="array" ref="T26">_xlfn.IFS(AND(T24="00",T25="00"),";H",AND(T24&lt;&gt;"00",T25&lt;&gt;"00"),CONCATENATE(T24,"-",U25,"(",U24,"-",T25,")"),AND(T24="00",T25&lt;&gt;"00"),CONCATENATE(T25,"-",U25),AND(T24&lt;&gt;"00",T25="00"),CONCATENATE(T24,"-",U24))</f>
        <v>#REF!</v>
      </c>
      <c r="U26" s="105"/>
      <c r="V26" s="104" t="e" cm="1">
        <f t="array" ref="V26">_xlfn.IFS(AND(V24="00",V25="00"),";H",AND(V24&lt;&gt;"00",V25&lt;&gt;"00"),CONCATENATE(V24,"-",W25,"(",W24,"-",V25,")"),AND(V24="00",V25&lt;&gt;"00"),CONCATENATE(V25,"-",W25),AND(V24&lt;&gt;"00",V25="00"),CONCATENATE(V24,"-",W24))</f>
        <v>#REF!</v>
      </c>
      <c r="W26" s="105"/>
      <c r="X26" s="104" t="e" cm="1">
        <f t="array" ref="X26">_xlfn.IFS(AND(X24="00",X25="00"),";H",AND(X24&lt;&gt;"00",X25&lt;&gt;"00"),CONCATENATE(X24,"-",Y25,"(",Y24,"-",X25,")"),AND(X24="00",X25&lt;&gt;"00"),CONCATENATE(X25,"-",Y25),AND(X24&lt;&gt;"00",X25="00"),CONCATENATE(X24,"-",Y24))</f>
        <v>#REF!</v>
      </c>
      <c r="Y26" s="105"/>
      <c r="Z26" s="104" t="e" cm="1">
        <f t="array" ref="Z26">_xlfn.IFS(AND(Z24="00",Z25="00"),";H",AND(Z24&lt;&gt;"00",Z25&lt;&gt;"00"),CONCATENATE(Z24,"-",AA25,"(",AA24,"-",Z25,")"),AND(Z24="00",Z25&lt;&gt;"00"),CONCATENATE(Z25,"-",AA25),AND(Z24&lt;&gt;"00",Z25="00"),CONCATENATE(Z24,"-",AA24))</f>
        <v>#REF!</v>
      </c>
      <c r="AA26" s="105"/>
      <c r="AB26" s="104" t="e" cm="1">
        <f t="array" ref="AB26">_xlfn.IFS(AND(AB24="00",AB25="00"),";H",AND(AB24&lt;&gt;"00",AB25&lt;&gt;"00"),CONCATENATE(AB24,"-",AC25,"(",AC24,"-",AB25,")"),AND(AB24="00",AB25&lt;&gt;"00"),CONCATENATE(AB25,"-",AC25),AND(AB24&lt;&gt;"00",AB25="00"),CONCATENATE(AB24,"-",AC24))</f>
        <v>#REF!</v>
      </c>
      <c r="AC26" s="105"/>
      <c r="AD26" s="104" t="e" cm="1">
        <f t="array" ref="AD26">_xlfn.IFS(AND(AD24="00",AD25="00"),";H",AND(AD24&lt;&gt;"00",AD25&lt;&gt;"00"),CONCATENATE(AD24,"-",AE25,"(",AE24,"-",AD25,")"),AND(AD24="00",AD25&lt;&gt;"00"),CONCATENATE(AD25,"-",AE25),AND(AD24&lt;&gt;"00",AD25="00"),CONCATENATE(AD24,"-",AE24))</f>
        <v>#REF!</v>
      </c>
      <c r="AE26" s="105"/>
      <c r="AF26" s="104" t="e" cm="1">
        <f t="array" ref="AF26">_xlfn.IFS(AND(AF24="00",AF25="00"),";H",AND(AF24&lt;&gt;"00",AF25&lt;&gt;"00"),CONCATENATE(AF24,"-",AG25,"(",AG24,"-",AF25,")"),AND(AF24="00",AF25&lt;&gt;"00"),CONCATENATE(AF25,"-",AG25),AND(AF24&lt;&gt;"00",AF25="00"),CONCATENATE(AF24,"-",AG24))</f>
        <v>#REF!</v>
      </c>
      <c r="AG26" s="105"/>
      <c r="AH26" s="104" t="e" cm="1">
        <f t="array" ref="AH26">_xlfn.IFS(AND(AH24="00",AH25="00"),";H",AND(AH24&lt;&gt;"00",AH25&lt;&gt;"00"),CONCATENATE(AH24,"-",AI25,"(",AI24,"-",AH25,")"),AND(AH24="00",AH25&lt;&gt;"00"),CONCATENATE(AH25,"-",AI25),AND(AH24&lt;&gt;"00",AH25="00"),CONCATENATE(AH24,"-",AI24))</f>
        <v>#REF!</v>
      </c>
      <c r="AI26" s="105"/>
      <c r="AJ26" s="104" t="e" cm="1">
        <f t="array" ref="AJ26">_xlfn.IFS(AND(AJ24="00",AJ25="00"),";H",AND(AJ24&lt;&gt;"00",AJ25&lt;&gt;"00"),CONCATENATE(AJ24,"-",AK25,"(",AK24,"-",AJ25,")"),AND(AJ24="00",AJ25&lt;&gt;"00"),CONCATENATE(AJ25,"-",AK25),AND(AJ24&lt;&gt;"00",AJ25="00"),CONCATENATE(AJ24,"-",AK24))</f>
        <v>#REF!</v>
      </c>
      <c r="AK26" s="105"/>
      <c r="AL26" s="104" t="e" cm="1">
        <f t="array" ref="AL26">_xlfn.IFS(AND(AL24="00",AL25="00"),";H",AND(AL24&lt;&gt;"00",AL25&lt;&gt;"00"),CONCATENATE(AL24,"-",AM25,"(",AM24,"-",AL25,")"),AND(AL24="00",AL25&lt;&gt;"00"),CONCATENATE(AL25,"-",AM25),AND(AL24&lt;&gt;"00",AL25="00"),CONCATENATE(AL24,"-",AM24))</f>
        <v>#REF!</v>
      </c>
      <c r="AM26" s="105"/>
      <c r="AN26" s="104" t="e" cm="1">
        <f t="array" ref="AN26">_xlfn.IFS(AND(AN24="00",AN25="00"),";H",AND(AN24&lt;&gt;"00",AN25&lt;&gt;"00"),CONCATENATE(AN24,"-",AO25,"(",AO24,"-",AN25,")"),AND(AN24="00",AN25&lt;&gt;"00"),CONCATENATE(AN25,"-",AO25),AND(AN24&lt;&gt;"00",AN25="00"),CONCATENATE(AN24,"-",AO24))</f>
        <v>#REF!</v>
      </c>
      <c r="AO26" s="105"/>
      <c r="AP26" s="104" t="e" cm="1">
        <f t="array" ref="AP26">_xlfn.IFS(AND(AP24="00",AP25="00"),";H",AND(AP24&lt;&gt;"00",AP25&lt;&gt;"00"),CONCATENATE(AP24,"-",AQ25,"(",AQ24,"-",AP25,")"),AND(AP24="00",AP25&lt;&gt;"00"),CONCATENATE(AP25,"-",AQ25),AND(AP24&lt;&gt;"00",AP25="00"),CONCATENATE(AP24,"-",AQ24))</f>
        <v>#REF!</v>
      </c>
      <c r="AQ26" s="105"/>
      <c r="AR26" s="104" t="e" cm="1">
        <f t="array" ref="AR26">_xlfn.IFS(AND(AR24="00",AR25="00"),";H",AND(AR24&lt;&gt;"00",AR25&lt;&gt;"00"),CONCATENATE(AR24,"-",AS25,"(",AS24,"-",AR25,")"),AND(AR24="00",AR25&lt;&gt;"00"),CONCATENATE(AR25,"-",AS25),AND(AR24&lt;&gt;"00",AR25="00"),CONCATENATE(AR24,"-",AS24))</f>
        <v>#REF!</v>
      </c>
      <c r="AS26" s="105"/>
      <c r="AT26" s="104" t="e" cm="1">
        <f t="array" ref="AT26">_xlfn.IFS(AND(AT24="00",AT25="00"),";H",AND(AT24&lt;&gt;"00",AT25&lt;&gt;"00"),CONCATENATE(AT24,"-",AU25,"(",AU24,"-",AT25,")"),AND(AT24="00",AT25&lt;&gt;"00"),CONCATENATE(AT25,"-",AU25),AND(AT24&lt;&gt;"00",AT25="00"),CONCATENATE(AT24,"-",AU24))</f>
        <v>#REF!</v>
      </c>
      <c r="AU26" s="105"/>
      <c r="AV26" s="104" t="e" cm="1">
        <f t="array" ref="AV26">_xlfn.IFS(AND(AV24="00",AV25="00"),";H",AND(AV24&lt;&gt;"00",AV25&lt;&gt;"00"),CONCATENATE(AV24,"-",AW25,"(",AW24,"-",AV25,")"),AND(AV24="00",AV25&lt;&gt;"00"),CONCATENATE(AV25,"-",AW25),AND(AV24&lt;&gt;"00",AV25="00"),CONCATENATE(AV24,"-",AW24))</f>
        <v>#REF!</v>
      </c>
      <c r="AW26" s="105"/>
      <c r="AX26" s="104" t="e" cm="1">
        <f t="array" ref="AX26">_xlfn.IFS(AND(AX24="00",AX25="00"),";H",AND(AX24&lt;&gt;"00",AX25&lt;&gt;"00"),CONCATENATE(AX24,"-",AY25,"(",AY24,"-",AX25,")"),AND(AX24="00",AX25&lt;&gt;"00"),CONCATENATE(AX25,"-",AY25),AND(AX24&lt;&gt;"00",AX25="00"),CONCATENATE(AX24,"-",AY24))</f>
        <v>#REF!</v>
      </c>
      <c r="AY26" s="105"/>
      <c r="AZ26" s="104" t="e" cm="1">
        <f t="array" ref="AZ26">_xlfn.IFS(AND(AZ24="00",AZ25="00"),";H",AND(AZ24&lt;&gt;"00",AZ25&lt;&gt;"00"),CONCATENATE(AZ24,"-",BA25,"(",BA24,"-",AZ25,")"),AND(AZ24="00",AZ25&lt;&gt;"00"),CONCATENATE(AZ25,"-",BA25),AND(AZ24&lt;&gt;"00",AZ25="00"),CONCATENATE(AZ24,"-",BA24))</f>
        <v>#REF!</v>
      </c>
      <c r="BA26" s="105"/>
      <c r="BB26" s="104" t="e" cm="1">
        <f t="array" ref="BB26">_xlfn.IFS(AND(BB24="00",BB25="00"),";H",AND(BB24&lt;&gt;"00",BB25&lt;&gt;"00"),CONCATENATE(BB24,"-",BC25,"(",BC24,"-",BB25,")"),AND(BB24="00",BB25&lt;&gt;"00"),CONCATENATE(BB25,"-",BC25),AND(BB24&lt;&gt;"00",BB25="00"),CONCATENATE(BB24,"-",BC24))</f>
        <v>#REF!</v>
      </c>
      <c r="BC26" s="105"/>
      <c r="BD26" s="104" t="e" cm="1">
        <f t="array" ref="BD26">_xlfn.IFS(AND(BD24="00",BD25="00"),";H",AND(BD24&lt;&gt;"00",BD25&lt;&gt;"00"),CONCATENATE(BD24,"-",BE25,"(",BE24,"-",BD25,")"),AND(BD24="00",BD25&lt;&gt;"00"),CONCATENATE(BD25,"-",BE25),AND(BD24&lt;&gt;"00",BD25="00"),CONCATENATE(BD24,"-",BE24))</f>
        <v>#REF!</v>
      </c>
      <c r="BE26" s="105"/>
      <c r="BF26" s="104" t="e" cm="1">
        <f t="array" ref="BF26">_xlfn.IFS(AND(BF24="00",BF25="00"),";H",AND(BF24&lt;&gt;"00",BF25&lt;&gt;"00"),CONCATENATE(BF24,"-",BG25,"(",BG24,"-",BF25,")"),AND(BF24="00",BF25&lt;&gt;"00"),CONCATENATE(BF25,"-",BG25),AND(BF24&lt;&gt;"00",BF25="00"),CONCATENATE(BF24,"-",BG24))</f>
        <v>#REF!</v>
      </c>
      <c r="BG26" s="105"/>
      <c r="BH26" s="104" t="e" cm="1">
        <f t="array" ref="BH26">_xlfn.IFS(AND(BH24="00",BH25="00"),";H",AND(BH24&lt;&gt;"00",BH25&lt;&gt;"00"),CONCATENATE(BH24,"-",BI25,"(",BI24,"-",BH25,")"),AND(BH24="00",BH25&lt;&gt;"00"),CONCATENATE(BH25,"-",BI25),AND(BH24&lt;&gt;"00",BH25="00"),CONCATENATE(BH24,"-",BI24))</f>
        <v>#REF!</v>
      </c>
      <c r="BI26" s="105"/>
      <c r="BJ26" s="104" t="e" cm="1">
        <f t="array" ref="BJ26">_xlfn.IFS(AND(BJ24="00",BJ25="00"),";H",AND(BJ24&lt;&gt;"00",BJ25&lt;&gt;"00"),CONCATENATE(BJ24,"-",BK25,"(",BK24,"-",BJ25,")"),AND(BJ24="00",BJ25&lt;&gt;"00"),CONCATENATE(BJ25,"-",BK25),AND(BJ24&lt;&gt;"00",BJ25="00"),CONCATENATE(BJ24,"-",BK24))</f>
        <v>#REF!</v>
      </c>
      <c r="BK26" s="105"/>
      <c r="BL26" s="104" t="e" cm="1">
        <f t="array" ref="BL26">_xlfn.IFS(AND(BL24="00",BL25="00"),";H",AND(BL24&lt;&gt;"00",BL25&lt;&gt;"00"),CONCATENATE(BL24,"-",BM25,"(",BM24,"-",BL25,")"),AND(BL24="00",BL25&lt;&gt;"00"),CONCATENATE(BL25,"-",BM25),AND(BL24&lt;&gt;"00",BL25="00"),CONCATENATE(BL24,"-",BM24))</f>
        <v>#REF!</v>
      </c>
      <c r="BM26" s="105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ht="15" thickBot="1">
      <c r="A27" s="83"/>
      <c r="B27" s="145" t="e">
        <f>#REF!</f>
        <v>#REF!</v>
      </c>
      <c r="C27" s="93"/>
      <c r="D27" s="23" t="e">
        <f>IF(MOD(#REF!,1)=0,CONCATENATE(#REF!,"00"),CONCATENATE(INT(#REF!),"30"))</f>
        <v>#REF!</v>
      </c>
      <c r="E27" s="24" t="e">
        <f>IF(MOD(#REF!,1)=0,CONCATENATE(#REF!,"00"),CONCATENATE(INT(#REF!),"30"))</f>
        <v>#REF!</v>
      </c>
      <c r="F27" s="23" t="e">
        <f>IF(MOD(#REF!,1)=0,CONCATENATE(#REF!,"00"),CONCATENATE(INT(#REF!),"30"))</f>
        <v>#REF!</v>
      </c>
      <c r="G27" s="24" t="e">
        <f>IF(MOD(#REF!,1)=0,CONCATENATE(#REF!,"00"),CONCATENATE(INT(#REF!),"30"))</f>
        <v>#REF!</v>
      </c>
      <c r="H27" s="23" t="e">
        <f>IF(MOD(#REF!,1)=0,CONCATENATE(#REF!,"00"),CONCATENATE(INT(#REF!),"30"))</f>
        <v>#REF!</v>
      </c>
      <c r="I27" s="24" t="e">
        <f>IF(MOD(#REF!,1)=0,CONCATENATE(#REF!,"00"),CONCATENATE(INT(#REF!),"30"))</f>
        <v>#REF!</v>
      </c>
      <c r="J27" s="23" t="e">
        <f>IF(MOD(#REF!,1)=0,CONCATENATE(#REF!,"00"),CONCATENATE(INT(#REF!),"30"))</f>
        <v>#REF!</v>
      </c>
      <c r="K27" s="24" t="e">
        <f>IF(MOD(#REF!,1)=0,CONCATENATE(#REF!,"00"),CONCATENATE(INT(#REF!),"30"))</f>
        <v>#REF!</v>
      </c>
      <c r="L27" s="23" t="e">
        <f>IF(MOD(#REF!,1)=0,CONCATENATE(#REF!,"00"),CONCATENATE(INT(#REF!),"30"))</f>
        <v>#REF!</v>
      </c>
      <c r="M27" s="24" t="e">
        <f>IF(MOD(#REF!,1)=0,CONCATENATE(#REF!,"00"),CONCATENATE(INT(#REF!),"30"))</f>
        <v>#REF!</v>
      </c>
      <c r="N27" s="23" t="e">
        <f>IF(MOD(#REF!,1)=0,CONCATENATE(#REF!,"00"),CONCATENATE(INT(#REF!),"30"))</f>
        <v>#REF!</v>
      </c>
      <c r="O27" s="24" t="e">
        <f>IF(MOD(#REF!,1)=0,CONCATENATE(#REF!,"00"),CONCATENATE(INT(#REF!),"30"))</f>
        <v>#REF!</v>
      </c>
      <c r="P27" s="23" t="e">
        <f>IF(MOD(#REF!,1)=0,CONCATENATE(#REF!,"00"),CONCATENATE(INT(#REF!),"30"))</f>
        <v>#REF!</v>
      </c>
      <c r="Q27" s="24" t="e">
        <f>IF(MOD(#REF!,1)=0,CONCATENATE(#REF!,"00"),CONCATENATE(INT(#REF!),"30"))</f>
        <v>#REF!</v>
      </c>
      <c r="R27" s="23" t="e">
        <f>IF(MOD(#REF!,1)=0,CONCATENATE(#REF!,"00"),CONCATENATE(INT(#REF!),"30"))</f>
        <v>#REF!</v>
      </c>
      <c r="S27" s="24" t="e">
        <f>IF(MOD(#REF!,1)=0,CONCATENATE(#REF!,"00"),CONCATENATE(INT(#REF!),"30"))</f>
        <v>#REF!</v>
      </c>
      <c r="T27" s="23" t="e">
        <f>IF(MOD(#REF!,1)=0,CONCATENATE(#REF!,"00"),CONCATENATE(INT(#REF!),"30"))</f>
        <v>#REF!</v>
      </c>
      <c r="U27" s="24" t="e">
        <f>IF(MOD(#REF!,1)=0,CONCATENATE(#REF!,"00"),CONCATENATE(INT(#REF!),"30"))</f>
        <v>#REF!</v>
      </c>
      <c r="V27" s="23" t="e">
        <f>IF(MOD(#REF!,1)=0,CONCATENATE(#REF!,"00"),CONCATENATE(INT(#REF!),"30"))</f>
        <v>#REF!</v>
      </c>
      <c r="W27" s="24" t="e">
        <f>IF(MOD(#REF!,1)=0,CONCATENATE(#REF!,"00"),CONCATENATE(INT(#REF!),"30"))</f>
        <v>#REF!</v>
      </c>
      <c r="X27" s="23" t="e">
        <f>IF(MOD(#REF!,1)=0,CONCATENATE(#REF!,"00"),CONCATENATE(INT(#REF!),"30"))</f>
        <v>#REF!</v>
      </c>
      <c r="Y27" s="24" t="e">
        <f>IF(MOD(#REF!,1)=0,CONCATENATE(#REF!,"00"),CONCATENATE(INT(#REF!),"30"))</f>
        <v>#REF!</v>
      </c>
      <c r="Z27" s="23" t="e">
        <f>IF(MOD(#REF!,1)=0,CONCATENATE(#REF!,"00"),CONCATENATE(INT(#REF!),"30"))</f>
        <v>#REF!</v>
      </c>
      <c r="AA27" s="24" t="e">
        <f>IF(MOD(#REF!,1)=0,CONCATENATE(#REF!,"00"),CONCATENATE(INT(#REF!),"30"))</f>
        <v>#REF!</v>
      </c>
      <c r="AB27" s="23" t="e">
        <f>IF(MOD(#REF!,1)=0,CONCATENATE(#REF!,"00"),CONCATENATE(INT(#REF!),"30"))</f>
        <v>#REF!</v>
      </c>
      <c r="AC27" s="24" t="e">
        <f>IF(MOD(#REF!,1)=0,CONCATENATE(#REF!,"00"),CONCATENATE(INT(#REF!),"30"))</f>
        <v>#REF!</v>
      </c>
      <c r="AD27" s="23" t="e">
        <f>IF(MOD(#REF!,1)=0,CONCATENATE(#REF!,"00"),CONCATENATE(INT(#REF!),"30"))</f>
        <v>#REF!</v>
      </c>
      <c r="AE27" s="24" t="e">
        <f>IF(MOD(#REF!,1)=0,CONCATENATE(#REF!,"00"),CONCATENATE(INT(#REF!),"30"))</f>
        <v>#REF!</v>
      </c>
      <c r="AF27" s="23" t="e">
        <f>IF(MOD(#REF!,1)=0,CONCATENATE(#REF!,"00"),CONCATENATE(INT(#REF!),"30"))</f>
        <v>#REF!</v>
      </c>
      <c r="AG27" s="24" t="e">
        <f>IF(MOD(#REF!,1)=0,CONCATENATE(#REF!,"00"),CONCATENATE(INT(#REF!),"30"))</f>
        <v>#REF!</v>
      </c>
      <c r="AH27" s="23" t="e">
        <f>IF(MOD(#REF!,1)=0,CONCATENATE(#REF!,"00"),CONCATENATE(INT(#REF!),"30"))</f>
        <v>#REF!</v>
      </c>
      <c r="AI27" s="24" t="e">
        <f>IF(MOD(#REF!,1)=0,CONCATENATE(#REF!,"00"),CONCATENATE(INT(#REF!),"30"))</f>
        <v>#REF!</v>
      </c>
      <c r="AJ27" s="23" t="e">
        <f>IF(MOD(#REF!,1)=0,CONCATENATE(#REF!,"00"),CONCATENATE(INT(#REF!),"30"))</f>
        <v>#REF!</v>
      </c>
      <c r="AK27" s="24" t="e">
        <f>IF(MOD(#REF!,1)=0,CONCATENATE(#REF!,"00"),CONCATENATE(INT(#REF!),"30"))</f>
        <v>#REF!</v>
      </c>
      <c r="AL27" s="23" t="e">
        <f>IF(MOD(#REF!,1)=0,CONCATENATE(#REF!,"00"),CONCATENATE(INT(#REF!),"30"))</f>
        <v>#REF!</v>
      </c>
      <c r="AM27" s="24" t="e">
        <f>IF(MOD(#REF!,1)=0,CONCATENATE(#REF!,"00"),CONCATENATE(INT(#REF!),"30"))</f>
        <v>#REF!</v>
      </c>
      <c r="AN27" s="23" t="e">
        <f>IF(MOD(#REF!,1)=0,CONCATENATE(#REF!,"00"),CONCATENATE(INT(#REF!),"30"))</f>
        <v>#REF!</v>
      </c>
      <c r="AO27" s="24" t="e">
        <f>IF(MOD(#REF!,1)=0,CONCATENATE(#REF!,"00"),CONCATENATE(INT(#REF!),"30"))</f>
        <v>#REF!</v>
      </c>
      <c r="AP27" s="23" t="e">
        <f>IF(MOD(#REF!,1)=0,CONCATENATE(#REF!,"00"),CONCATENATE(INT(#REF!),"30"))</f>
        <v>#REF!</v>
      </c>
      <c r="AQ27" s="24" t="e">
        <f>IF(MOD(#REF!,1)=0,CONCATENATE(#REF!,"00"),CONCATENATE(INT(#REF!),"30"))</f>
        <v>#REF!</v>
      </c>
      <c r="AR27" s="23" t="e">
        <f>IF(MOD(#REF!,1)=0,CONCATENATE(#REF!,"00"),CONCATENATE(INT(#REF!),"30"))</f>
        <v>#REF!</v>
      </c>
      <c r="AS27" s="24" t="e">
        <f>IF(MOD(#REF!,1)=0,CONCATENATE(#REF!,"00"),CONCATENATE(INT(#REF!),"30"))</f>
        <v>#REF!</v>
      </c>
      <c r="AT27" s="23" t="e">
        <f>IF(MOD(#REF!,1)=0,CONCATENATE(#REF!,"00"),CONCATENATE(INT(#REF!),"30"))</f>
        <v>#REF!</v>
      </c>
      <c r="AU27" s="24" t="e">
        <f>IF(MOD(#REF!,1)=0,CONCATENATE(#REF!,"00"),CONCATENATE(INT(#REF!),"30"))</f>
        <v>#REF!</v>
      </c>
      <c r="AV27" s="23" t="e">
        <f>IF(MOD(#REF!,1)=0,CONCATENATE(#REF!,"00"),CONCATENATE(INT(#REF!),"30"))</f>
        <v>#REF!</v>
      </c>
      <c r="AW27" s="24" t="e">
        <f>IF(MOD(#REF!,1)=0,CONCATENATE(#REF!,"00"),CONCATENATE(INT(#REF!),"30"))</f>
        <v>#REF!</v>
      </c>
      <c r="AX27" s="23" t="e">
        <f>IF(MOD(#REF!,1)=0,CONCATENATE(#REF!,"00"),CONCATENATE(INT(#REF!),"30"))</f>
        <v>#REF!</v>
      </c>
      <c r="AY27" s="24" t="e">
        <f>IF(MOD(#REF!,1)=0,CONCATENATE(#REF!,"00"),CONCATENATE(INT(#REF!),"30"))</f>
        <v>#REF!</v>
      </c>
      <c r="AZ27" s="23" t="e">
        <f>IF(MOD(#REF!,1)=0,CONCATENATE(#REF!,"00"),CONCATENATE(INT(#REF!),"30"))</f>
        <v>#REF!</v>
      </c>
      <c r="BA27" s="24" t="e">
        <f>IF(MOD(#REF!,1)=0,CONCATENATE(#REF!,"00"),CONCATENATE(INT(#REF!),"30"))</f>
        <v>#REF!</v>
      </c>
      <c r="BB27" s="23" t="e">
        <f>IF(MOD(#REF!,1)=0,CONCATENATE(#REF!,"00"),CONCATENATE(INT(#REF!),"30"))</f>
        <v>#REF!</v>
      </c>
      <c r="BC27" s="24" t="e">
        <f>IF(MOD(#REF!,1)=0,CONCATENATE(#REF!,"00"),CONCATENATE(INT(#REF!),"30"))</f>
        <v>#REF!</v>
      </c>
      <c r="BD27" s="23" t="e">
        <f>IF(MOD(#REF!,1)=0,CONCATENATE(#REF!,"00"),CONCATENATE(INT(#REF!),"30"))</f>
        <v>#REF!</v>
      </c>
      <c r="BE27" s="24" t="e">
        <f>IF(MOD(#REF!,1)=0,CONCATENATE(#REF!,"00"),CONCATENATE(INT(#REF!),"30"))</f>
        <v>#REF!</v>
      </c>
      <c r="BF27" s="23" t="e">
        <f>IF(MOD(#REF!,1)=0,CONCATENATE(#REF!,"00"),CONCATENATE(INT(#REF!),"30"))</f>
        <v>#REF!</v>
      </c>
      <c r="BG27" s="24" t="e">
        <f>IF(MOD(#REF!,1)=0,CONCATENATE(#REF!,"00"),CONCATENATE(INT(#REF!),"30"))</f>
        <v>#REF!</v>
      </c>
      <c r="BH27" s="23" t="e">
        <f>IF(MOD(#REF!,1)=0,CONCATENATE(#REF!,"00"),CONCATENATE(INT(#REF!),"30"))</f>
        <v>#REF!</v>
      </c>
      <c r="BI27" s="24" t="e">
        <f>IF(MOD(#REF!,1)=0,CONCATENATE(#REF!,"00"),CONCATENATE(INT(#REF!),"30"))</f>
        <v>#REF!</v>
      </c>
      <c r="BJ27" s="23" t="e">
        <f>IF(MOD(#REF!,1)=0,CONCATENATE(#REF!,"00"),CONCATENATE(INT(#REF!),"30"))</f>
        <v>#REF!</v>
      </c>
      <c r="BK27" s="24" t="e">
        <f>IF(MOD(#REF!,1)=0,CONCATENATE(#REF!,"00"),CONCATENATE(INT(#REF!),"30"))</f>
        <v>#REF!</v>
      </c>
      <c r="BL27" s="23" t="e">
        <f>IF(MOD(#REF!,1)=0,CONCATENATE(#REF!,"00"),CONCATENATE(INT(#REF!),"30"))</f>
        <v>#REF!</v>
      </c>
      <c r="BM27" s="24" t="e">
        <f>IF(MOD(#REF!,1)=0,CONCATENATE(#REF!,"00"),CONCATENATE(INT(#REF!),"30"))</f>
        <v>#REF!</v>
      </c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</row>
    <row r="28" spans="1:81" ht="15" thickBot="1">
      <c r="A28" s="84"/>
      <c r="B28" s="86"/>
      <c r="C28" s="94"/>
      <c r="D28" s="25" t="e">
        <f>IF(MOD(#REF!,1)=0,CONCATENATE(#REF!,"00"),CONCATENATE(INT(#REF!),"30"))</f>
        <v>#REF!</v>
      </c>
      <c r="E28" s="26" t="e">
        <f>IF(MOD(#REF!,1)=0,CONCATENATE(#REF!,"00"),CONCATENATE(INT(#REF!),"30"))</f>
        <v>#REF!</v>
      </c>
      <c r="F28" s="25" t="e">
        <f>IF(MOD(#REF!,1)=0,CONCATENATE(#REF!,"00"),CONCATENATE(INT(#REF!),"30"))</f>
        <v>#REF!</v>
      </c>
      <c r="G28" s="26" t="e">
        <f>IF(MOD(#REF!,1)=0,CONCATENATE(#REF!,"00"),CONCATENATE(INT(#REF!),"30"))</f>
        <v>#REF!</v>
      </c>
      <c r="H28" s="25" t="e">
        <f>IF(MOD(#REF!,1)=0,CONCATENATE(#REF!,"00"),CONCATENATE(INT(#REF!),"30"))</f>
        <v>#REF!</v>
      </c>
      <c r="I28" s="26" t="e">
        <f>IF(MOD(#REF!,1)=0,CONCATENATE(#REF!,"00"),CONCATENATE(INT(#REF!),"30"))</f>
        <v>#REF!</v>
      </c>
      <c r="J28" s="25" t="e">
        <f>IF(MOD(#REF!,1)=0,CONCATENATE(#REF!,"00"),CONCATENATE(INT(#REF!),"30"))</f>
        <v>#REF!</v>
      </c>
      <c r="K28" s="26" t="e">
        <f>IF(MOD(#REF!,1)=0,CONCATENATE(#REF!,"00"),CONCATENATE(INT(#REF!),"30"))</f>
        <v>#REF!</v>
      </c>
      <c r="L28" s="25" t="e">
        <f>IF(MOD(#REF!,1)=0,CONCATENATE(#REF!,"00"),CONCATENATE(INT(#REF!),"30"))</f>
        <v>#REF!</v>
      </c>
      <c r="M28" s="26" t="e">
        <f>IF(MOD(#REF!,1)=0,CONCATENATE(#REF!,"00"),CONCATENATE(INT(#REF!),"30"))</f>
        <v>#REF!</v>
      </c>
      <c r="N28" s="25" t="e">
        <f>IF(MOD(#REF!,1)=0,CONCATENATE(#REF!,"00"),CONCATENATE(INT(#REF!),"30"))</f>
        <v>#REF!</v>
      </c>
      <c r="O28" s="26" t="e">
        <f>IF(MOD(#REF!,1)=0,CONCATENATE(#REF!,"00"),CONCATENATE(INT(#REF!),"30"))</f>
        <v>#REF!</v>
      </c>
      <c r="P28" s="25" t="e">
        <f>IF(MOD(#REF!,1)=0,CONCATENATE(#REF!,"00"),CONCATENATE(INT(#REF!),"30"))</f>
        <v>#REF!</v>
      </c>
      <c r="Q28" s="26" t="e">
        <f>IF(MOD(#REF!,1)=0,CONCATENATE(#REF!,"00"),CONCATENATE(INT(#REF!),"30"))</f>
        <v>#REF!</v>
      </c>
      <c r="R28" s="25" t="e">
        <f>IF(MOD(#REF!,1)=0,CONCATENATE(#REF!,"00"),CONCATENATE(INT(#REF!),"30"))</f>
        <v>#REF!</v>
      </c>
      <c r="S28" s="26" t="e">
        <f>IF(MOD(#REF!,1)=0,CONCATENATE(#REF!,"00"),CONCATENATE(INT(#REF!),"30"))</f>
        <v>#REF!</v>
      </c>
      <c r="T28" s="25" t="e">
        <f>IF(MOD(#REF!,1)=0,CONCATENATE(#REF!,"00"),CONCATENATE(INT(#REF!),"30"))</f>
        <v>#REF!</v>
      </c>
      <c r="U28" s="26" t="e">
        <f>IF(MOD(#REF!,1)=0,CONCATENATE(#REF!,"00"),CONCATENATE(INT(#REF!),"30"))</f>
        <v>#REF!</v>
      </c>
      <c r="V28" s="25" t="e">
        <f>IF(MOD(#REF!,1)=0,CONCATENATE(#REF!,"00"),CONCATENATE(INT(#REF!),"30"))</f>
        <v>#REF!</v>
      </c>
      <c r="W28" s="26" t="e">
        <f>IF(MOD(#REF!,1)=0,CONCATENATE(#REF!,"00"),CONCATENATE(INT(#REF!),"30"))</f>
        <v>#REF!</v>
      </c>
      <c r="X28" s="25" t="e">
        <f>IF(MOD(#REF!,1)=0,CONCATENATE(#REF!,"00"),CONCATENATE(INT(#REF!),"30"))</f>
        <v>#REF!</v>
      </c>
      <c r="Y28" s="26" t="e">
        <f>IF(MOD(#REF!,1)=0,CONCATENATE(#REF!,"00"),CONCATENATE(INT(#REF!),"30"))</f>
        <v>#REF!</v>
      </c>
      <c r="Z28" s="25" t="e">
        <f>IF(MOD(#REF!,1)=0,CONCATENATE(#REF!,"00"),CONCATENATE(INT(#REF!),"30"))</f>
        <v>#REF!</v>
      </c>
      <c r="AA28" s="26" t="e">
        <f>IF(MOD(#REF!,1)=0,CONCATENATE(#REF!,"00"),CONCATENATE(INT(#REF!),"30"))</f>
        <v>#REF!</v>
      </c>
      <c r="AB28" s="25" t="e">
        <f>IF(MOD(#REF!,1)=0,CONCATENATE(#REF!,"00"),CONCATENATE(INT(#REF!),"30"))</f>
        <v>#REF!</v>
      </c>
      <c r="AC28" s="26" t="e">
        <f>IF(MOD(#REF!,1)=0,CONCATENATE(#REF!,"00"),CONCATENATE(INT(#REF!),"30"))</f>
        <v>#REF!</v>
      </c>
      <c r="AD28" s="25" t="e">
        <f>IF(MOD(#REF!,1)=0,CONCATENATE(#REF!,"00"),CONCATENATE(INT(#REF!),"30"))</f>
        <v>#REF!</v>
      </c>
      <c r="AE28" s="26" t="e">
        <f>IF(MOD(#REF!,1)=0,CONCATENATE(#REF!,"00"),CONCATENATE(INT(#REF!),"30"))</f>
        <v>#REF!</v>
      </c>
      <c r="AF28" s="25" t="e">
        <f>IF(MOD(#REF!,1)=0,CONCATENATE(#REF!,"00"),CONCATENATE(INT(#REF!),"30"))</f>
        <v>#REF!</v>
      </c>
      <c r="AG28" s="26" t="e">
        <f>IF(MOD(#REF!,1)=0,CONCATENATE(#REF!,"00"),CONCATENATE(INT(#REF!),"30"))</f>
        <v>#REF!</v>
      </c>
      <c r="AH28" s="25" t="e">
        <f>IF(MOD(#REF!,1)=0,CONCATENATE(#REF!,"00"),CONCATENATE(INT(#REF!),"30"))</f>
        <v>#REF!</v>
      </c>
      <c r="AI28" s="26" t="e">
        <f>IF(MOD(#REF!,1)=0,CONCATENATE(#REF!,"00"),CONCATENATE(INT(#REF!),"30"))</f>
        <v>#REF!</v>
      </c>
      <c r="AJ28" s="25" t="e">
        <f>IF(MOD(#REF!,1)=0,CONCATENATE(#REF!,"00"),CONCATENATE(INT(#REF!),"30"))</f>
        <v>#REF!</v>
      </c>
      <c r="AK28" s="26" t="e">
        <f>IF(MOD(#REF!,1)=0,CONCATENATE(#REF!,"00"),CONCATENATE(INT(#REF!),"30"))</f>
        <v>#REF!</v>
      </c>
      <c r="AL28" s="25" t="e">
        <f>IF(MOD(#REF!,1)=0,CONCATENATE(#REF!,"00"),CONCATENATE(INT(#REF!),"30"))</f>
        <v>#REF!</v>
      </c>
      <c r="AM28" s="26" t="e">
        <f>IF(MOD(#REF!,1)=0,CONCATENATE(#REF!,"00"),CONCATENATE(INT(#REF!),"30"))</f>
        <v>#REF!</v>
      </c>
      <c r="AN28" s="25" t="e">
        <f>IF(MOD(#REF!,1)=0,CONCATENATE(#REF!,"00"),CONCATENATE(INT(#REF!),"30"))</f>
        <v>#REF!</v>
      </c>
      <c r="AO28" s="26" t="e">
        <f>IF(MOD(#REF!,1)=0,CONCATENATE(#REF!,"00"),CONCATENATE(INT(#REF!),"30"))</f>
        <v>#REF!</v>
      </c>
      <c r="AP28" s="25" t="e">
        <f>IF(MOD(#REF!,1)=0,CONCATENATE(#REF!,"00"),CONCATENATE(INT(#REF!),"30"))</f>
        <v>#REF!</v>
      </c>
      <c r="AQ28" s="26" t="e">
        <f>IF(MOD(#REF!,1)=0,CONCATENATE(#REF!,"00"),CONCATENATE(INT(#REF!),"30"))</f>
        <v>#REF!</v>
      </c>
      <c r="AR28" s="25" t="e">
        <f>IF(MOD(#REF!,1)=0,CONCATENATE(#REF!,"00"),CONCATENATE(INT(#REF!),"30"))</f>
        <v>#REF!</v>
      </c>
      <c r="AS28" s="26" t="e">
        <f>IF(MOD(#REF!,1)=0,CONCATENATE(#REF!,"00"),CONCATENATE(INT(#REF!),"30"))</f>
        <v>#REF!</v>
      </c>
      <c r="AT28" s="25" t="e">
        <f>IF(MOD(#REF!,1)=0,CONCATENATE(#REF!,"00"),CONCATENATE(INT(#REF!),"30"))</f>
        <v>#REF!</v>
      </c>
      <c r="AU28" s="26" t="e">
        <f>IF(MOD(#REF!,1)=0,CONCATENATE(#REF!,"00"),CONCATENATE(INT(#REF!),"30"))</f>
        <v>#REF!</v>
      </c>
      <c r="AV28" s="25" t="e">
        <f>IF(MOD(#REF!,1)=0,CONCATENATE(#REF!,"00"),CONCATENATE(INT(#REF!),"30"))</f>
        <v>#REF!</v>
      </c>
      <c r="AW28" s="26" t="e">
        <f>IF(MOD(#REF!,1)=0,CONCATENATE(#REF!,"00"),CONCATENATE(INT(#REF!),"30"))</f>
        <v>#REF!</v>
      </c>
      <c r="AX28" s="25" t="e">
        <f>IF(MOD(#REF!,1)=0,CONCATENATE(#REF!,"00"),CONCATENATE(INT(#REF!),"30"))</f>
        <v>#REF!</v>
      </c>
      <c r="AY28" s="26" t="e">
        <f>IF(MOD(#REF!,1)=0,CONCATENATE(#REF!,"00"),CONCATENATE(INT(#REF!),"30"))</f>
        <v>#REF!</v>
      </c>
      <c r="AZ28" s="25" t="e">
        <f>IF(MOD(#REF!,1)=0,CONCATENATE(#REF!,"00"),CONCATENATE(INT(#REF!),"30"))</f>
        <v>#REF!</v>
      </c>
      <c r="BA28" s="26" t="e">
        <f>IF(MOD(#REF!,1)=0,CONCATENATE(#REF!,"00"),CONCATENATE(INT(#REF!),"30"))</f>
        <v>#REF!</v>
      </c>
      <c r="BB28" s="25" t="e">
        <f>IF(MOD(#REF!,1)=0,CONCATENATE(#REF!,"00"),CONCATENATE(INT(#REF!),"30"))</f>
        <v>#REF!</v>
      </c>
      <c r="BC28" s="26" t="e">
        <f>IF(MOD(#REF!,1)=0,CONCATENATE(#REF!,"00"),CONCATENATE(INT(#REF!),"30"))</f>
        <v>#REF!</v>
      </c>
      <c r="BD28" s="25" t="e">
        <f>IF(MOD(#REF!,1)=0,CONCATENATE(#REF!,"00"),CONCATENATE(INT(#REF!),"30"))</f>
        <v>#REF!</v>
      </c>
      <c r="BE28" s="26" t="e">
        <f>IF(MOD(#REF!,1)=0,CONCATENATE(#REF!,"00"),CONCATENATE(INT(#REF!),"30"))</f>
        <v>#REF!</v>
      </c>
      <c r="BF28" s="25" t="e">
        <f>IF(MOD(#REF!,1)=0,CONCATENATE(#REF!,"00"),CONCATENATE(INT(#REF!),"30"))</f>
        <v>#REF!</v>
      </c>
      <c r="BG28" s="26" t="e">
        <f>IF(MOD(#REF!,1)=0,CONCATENATE(#REF!,"00"),CONCATENATE(INT(#REF!),"30"))</f>
        <v>#REF!</v>
      </c>
      <c r="BH28" s="25" t="e">
        <f>IF(MOD(#REF!,1)=0,CONCATENATE(#REF!,"00"),CONCATENATE(INT(#REF!),"30"))</f>
        <v>#REF!</v>
      </c>
      <c r="BI28" s="26" t="e">
        <f>IF(MOD(#REF!,1)=0,CONCATENATE(#REF!,"00"),CONCATENATE(INT(#REF!),"30"))</f>
        <v>#REF!</v>
      </c>
      <c r="BJ28" s="25" t="e">
        <f>IF(MOD(#REF!,1)=0,CONCATENATE(#REF!,"00"),CONCATENATE(INT(#REF!),"30"))</f>
        <v>#REF!</v>
      </c>
      <c r="BK28" s="26" t="e">
        <f>IF(MOD(#REF!,1)=0,CONCATENATE(#REF!,"00"),CONCATENATE(INT(#REF!),"30"))</f>
        <v>#REF!</v>
      </c>
      <c r="BL28" s="25" t="e">
        <f>IF(MOD(#REF!,1)=0,CONCATENATE(#REF!,"00"),CONCATENATE(INT(#REF!),"30"))</f>
        <v>#REF!</v>
      </c>
      <c r="BM28" s="26" t="e">
        <f>IF(MOD(#REF!,1)=0,CONCATENATE(#REF!,"00"),CONCATENATE(INT(#REF!),"30"))</f>
        <v>#REF!</v>
      </c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ht="40" customHeight="1" thickBot="1">
      <c r="A29" s="47"/>
      <c r="B29" s="84"/>
      <c r="C29" s="95"/>
      <c r="D29" s="104" t="e" cm="1">
        <f t="array" ref="D29">_xlfn.IFS(AND(D27="00",D28="00"),";H",AND(D27&lt;&gt;"00",D28&lt;&gt;"00"),CONCATENATE(D27,"-",E28,"(",E27,"-",D28,")"),AND(D27="00",D28&lt;&gt;"00"),CONCATENATE(D28,"-",E28),AND(D27&lt;&gt;"00",D28="00"),CONCATENATE(D27,"-",E27))</f>
        <v>#REF!</v>
      </c>
      <c r="E29" s="105"/>
      <c r="F29" s="104" t="e" cm="1">
        <f t="array" ref="F29">_xlfn.IFS(AND(F27="00",F28="00"),";H",AND(F27&lt;&gt;"00",F28&lt;&gt;"00"),CONCATENATE(F27,"-",G28,"(",G27,"-",F28,")"),AND(F27="00",F28&lt;&gt;"00"),CONCATENATE(F28,"-",G28),AND(F27&lt;&gt;"00",F28="00"),CONCATENATE(F27,"-",G27))</f>
        <v>#REF!</v>
      </c>
      <c r="G29" s="105"/>
      <c r="H29" s="104" t="e" cm="1">
        <f t="array" ref="H29">_xlfn.IFS(AND(H27="00",H28="00"),";H",AND(H27&lt;&gt;"00",H28&lt;&gt;"00"),CONCATENATE(H27,"-",I28,"(",I27,"-",H28,")"),AND(H27="00",H28&lt;&gt;"00"),CONCATENATE(H28,"-",I28),AND(H27&lt;&gt;"00",H28="00"),CONCATENATE(H27,"-",I27))</f>
        <v>#REF!</v>
      </c>
      <c r="I29" s="105"/>
      <c r="J29" s="104" t="e" cm="1">
        <f t="array" ref="J29">_xlfn.IFS(AND(J27="00",J28="00"),";H",AND(J27&lt;&gt;"00",J28&lt;&gt;"00"),CONCATENATE(J27,"-",K28,"(",K27,"-",J28,")"),AND(J27="00",J28&lt;&gt;"00"),CONCATENATE(J28,"-",K28),AND(J27&lt;&gt;"00",J28="00"),CONCATENATE(J27,"-",K27))</f>
        <v>#REF!</v>
      </c>
      <c r="K29" s="105"/>
      <c r="L29" s="104" t="e" cm="1">
        <f t="array" ref="L29">_xlfn.IFS(AND(L27="00",L28="00"),";H",AND(L27&lt;&gt;"00",L28&lt;&gt;"00"),CONCATENATE(L27,"-",M28,"(",M27,"-",L28,")"),AND(L27="00",L28&lt;&gt;"00"),CONCATENATE(L28,"-",M28),AND(L27&lt;&gt;"00",L28="00"),CONCATENATE(L27,"-",M27))</f>
        <v>#REF!</v>
      </c>
      <c r="M29" s="105"/>
      <c r="N29" s="104" t="e" cm="1">
        <f t="array" ref="N29">_xlfn.IFS(AND(N27="00",N28="00"),";H",AND(N27&lt;&gt;"00",N28&lt;&gt;"00"),CONCATENATE(N27,"-",O28,"(",O27,"-",N28,")"),AND(N27="00",N28&lt;&gt;"00"),CONCATENATE(N28,"-",O28),AND(N27&lt;&gt;"00",N28="00"),CONCATENATE(N27,"-",O27))</f>
        <v>#REF!</v>
      </c>
      <c r="O29" s="105"/>
      <c r="P29" s="104" t="e" cm="1">
        <f t="array" ref="P29">_xlfn.IFS(AND(P27="00",P28="00"),";H",AND(P27&lt;&gt;"00",P28&lt;&gt;"00"),CONCATENATE(P27,"-",Q28,"(",Q27,"-",P28,")"),AND(P27="00",P28&lt;&gt;"00"),CONCATENATE(P28,"-",Q28),AND(P27&lt;&gt;"00",P28="00"),CONCATENATE(P27,"-",Q27))</f>
        <v>#REF!</v>
      </c>
      <c r="Q29" s="105"/>
      <c r="R29" s="104" t="e" cm="1">
        <f t="array" ref="R29">_xlfn.IFS(AND(R27="00",R28="00"),";H",AND(R27&lt;&gt;"00",R28&lt;&gt;"00"),CONCATENATE(R27,"-",S28,"(",S27,"-",R28,")"),AND(R27="00",R28&lt;&gt;"00"),CONCATENATE(R28,"-",S28),AND(R27&lt;&gt;"00",R28="00"),CONCATENATE(R27,"-",S27))</f>
        <v>#REF!</v>
      </c>
      <c r="S29" s="105"/>
      <c r="T29" s="104" t="e" cm="1">
        <f t="array" ref="T29">_xlfn.IFS(AND(T27="00",T28="00"),";H",AND(T27&lt;&gt;"00",T28&lt;&gt;"00"),CONCATENATE(T27,"-",U28,"(",U27,"-",T28,")"),AND(T27="00",T28&lt;&gt;"00"),CONCATENATE(T28,"-",U28),AND(T27&lt;&gt;"00",T28="00"),CONCATENATE(T27,"-",U27))</f>
        <v>#REF!</v>
      </c>
      <c r="U29" s="105"/>
      <c r="V29" s="104" t="e" cm="1">
        <f t="array" ref="V29">_xlfn.IFS(AND(V27="00",V28="00"),";H",AND(V27&lt;&gt;"00",V28&lt;&gt;"00"),CONCATENATE(V27,"-",W28,"(",W27,"-",V28,")"),AND(V27="00",V28&lt;&gt;"00"),CONCATENATE(V28,"-",W28),AND(V27&lt;&gt;"00",V28="00"),CONCATENATE(V27,"-",W27))</f>
        <v>#REF!</v>
      </c>
      <c r="W29" s="105"/>
      <c r="X29" s="104" t="e" cm="1">
        <f t="array" ref="X29">_xlfn.IFS(AND(X27="00",X28="00"),";H",AND(X27&lt;&gt;"00",X28&lt;&gt;"00"),CONCATENATE(X27,"-",Y28,"(",Y27,"-",X28,")"),AND(X27="00",X28&lt;&gt;"00"),CONCATENATE(X28,"-",Y28),AND(X27&lt;&gt;"00",X28="00"),CONCATENATE(X27,"-",Y27))</f>
        <v>#REF!</v>
      </c>
      <c r="Y29" s="105"/>
      <c r="Z29" s="104" t="e" cm="1">
        <f t="array" ref="Z29">_xlfn.IFS(AND(Z27="00",Z28="00"),";H",AND(Z27&lt;&gt;"00",Z28&lt;&gt;"00"),CONCATENATE(Z27,"-",AA28,"(",AA27,"-",Z28,")"),AND(Z27="00",Z28&lt;&gt;"00"),CONCATENATE(Z28,"-",AA28),AND(Z27&lt;&gt;"00",Z28="00"),CONCATENATE(Z27,"-",AA27))</f>
        <v>#REF!</v>
      </c>
      <c r="AA29" s="105"/>
      <c r="AB29" s="104" t="e" cm="1">
        <f t="array" ref="AB29">_xlfn.IFS(AND(AB27="00",AB28="00"),";H",AND(AB27&lt;&gt;"00",AB28&lt;&gt;"00"),CONCATENATE(AB27,"-",AC28,"(",AC27,"-",AB28,")"),AND(AB27="00",AB28&lt;&gt;"00"),CONCATENATE(AB28,"-",AC28),AND(AB27&lt;&gt;"00",AB28="00"),CONCATENATE(AB27,"-",AC27))</f>
        <v>#REF!</v>
      </c>
      <c r="AC29" s="105"/>
      <c r="AD29" s="104" t="e" cm="1">
        <f t="array" ref="AD29">_xlfn.IFS(AND(AD27="00",AD28="00"),";H",AND(AD27&lt;&gt;"00",AD28&lt;&gt;"00"),CONCATENATE(AD27,"-",AE28,"(",AE27,"-",AD28,")"),AND(AD27="00",AD28&lt;&gt;"00"),CONCATENATE(AD28,"-",AE28),AND(AD27&lt;&gt;"00",AD28="00"),CONCATENATE(AD27,"-",AE27))</f>
        <v>#REF!</v>
      </c>
      <c r="AE29" s="105"/>
      <c r="AF29" s="104" t="e" cm="1">
        <f t="array" ref="AF29">_xlfn.IFS(AND(AF27="00",AF28="00"),";H",AND(AF27&lt;&gt;"00",AF28&lt;&gt;"00"),CONCATENATE(AF27,"-",AG28,"(",AG27,"-",AF28,")"),AND(AF27="00",AF28&lt;&gt;"00"),CONCATENATE(AF28,"-",AG28),AND(AF27&lt;&gt;"00",AF28="00"),CONCATENATE(AF27,"-",AG27))</f>
        <v>#REF!</v>
      </c>
      <c r="AG29" s="105"/>
      <c r="AH29" s="104" t="e" cm="1">
        <f t="array" ref="AH29">_xlfn.IFS(AND(AH27="00",AH28="00"),";H",AND(AH27&lt;&gt;"00",AH28&lt;&gt;"00"),CONCATENATE(AH27,"-",AI28,"(",AI27,"-",AH28,")"),AND(AH27="00",AH28&lt;&gt;"00"),CONCATENATE(AH28,"-",AI28),AND(AH27&lt;&gt;"00",AH28="00"),CONCATENATE(AH27,"-",AI27))</f>
        <v>#REF!</v>
      </c>
      <c r="AI29" s="105"/>
      <c r="AJ29" s="104" t="e" cm="1">
        <f t="array" ref="AJ29">_xlfn.IFS(AND(AJ27="00",AJ28="00"),";H",AND(AJ27&lt;&gt;"00",AJ28&lt;&gt;"00"),CONCATENATE(AJ27,"-",AK28,"(",AK27,"-",AJ28,")"),AND(AJ27="00",AJ28&lt;&gt;"00"),CONCATENATE(AJ28,"-",AK28),AND(AJ27&lt;&gt;"00",AJ28="00"),CONCATENATE(AJ27,"-",AK27))</f>
        <v>#REF!</v>
      </c>
      <c r="AK29" s="105"/>
      <c r="AL29" s="104" t="e" cm="1">
        <f t="array" ref="AL29">_xlfn.IFS(AND(AL27="00",AL28="00"),";H",AND(AL27&lt;&gt;"00",AL28&lt;&gt;"00"),CONCATENATE(AL27,"-",AM28,"(",AM27,"-",AL28,")"),AND(AL27="00",AL28&lt;&gt;"00"),CONCATENATE(AL28,"-",AM28),AND(AL27&lt;&gt;"00",AL28="00"),CONCATENATE(AL27,"-",AM27))</f>
        <v>#REF!</v>
      </c>
      <c r="AM29" s="105"/>
      <c r="AN29" s="104" t="e" cm="1">
        <f t="array" ref="AN29">_xlfn.IFS(AND(AN27="00",AN28="00"),";H",AND(AN27&lt;&gt;"00",AN28&lt;&gt;"00"),CONCATENATE(AN27,"-",AO28,"(",AO27,"-",AN28,")"),AND(AN27="00",AN28&lt;&gt;"00"),CONCATENATE(AN28,"-",AO28),AND(AN27&lt;&gt;"00",AN28="00"),CONCATENATE(AN27,"-",AO27))</f>
        <v>#REF!</v>
      </c>
      <c r="AO29" s="105"/>
      <c r="AP29" s="104" t="e" cm="1">
        <f t="array" ref="AP29">_xlfn.IFS(AND(AP27="00",AP28="00"),";H",AND(AP27&lt;&gt;"00",AP28&lt;&gt;"00"),CONCATENATE(AP27,"-",AQ28,"(",AQ27,"-",AP28,")"),AND(AP27="00",AP28&lt;&gt;"00"),CONCATENATE(AP28,"-",AQ28),AND(AP27&lt;&gt;"00",AP28="00"),CONCATENATE(AP27,"-",AQ27))</f>
        <v>#REF!</v>
      </c>
      <c r="AQ29" s="105"/>
      <c r="AR29" s="104" t="e" cm="1">
        <f t="array" ref="AR29">_xlfn.IFS(AND(AR27="00",AR28="00"),";H",AND(AR27&lt;&gt;"00",AR28&lt;&gt;"00"),CONCATENATE(AR27,"-",AS28,"(",AS27,"-",AR28,")"),AND(AR27="00",AR28&lt;&gt;"00"),CONCATENATE(AR28,"-",AS28),AND(AR27&lt;&gt;"00",AR28="00"),CONCATENATE(AR27,"-",AS27))</f>
        <v>#REF!</v>
      </c>
      <c r="AS29" s="105"/>
      <c r="AT29" s="104" t="e" cm="1">
        <f t="array" ref="AT29">_xlfn.IFS(AND(AT27="00",AT28="00"),";H",AND(AT27&lt;&gt;"00",AT28&lt;&gt;"00"),CONCATENATE(AT27,"-",AU28,"(",AU27,"-",AT28,")"),AND(AT27="00",AT28&lt;&gt;"00"),CONCATENATE(AT28,"-",AU28),AND(AT27&lt;&gt;"00",AT28="00"),CONCATENATE(AT27,"-",AU27))</f>
        <v>#REF!</v>
      </c>
      <c r="AU29" s="105"/>
      <c r="AV29" s="104" t="e" cm="1">
        <f t="array" ref="AV29">_xlfn.IFS(AND(AV27="00",AV28="00"),";H",AND(AV27&lt;&gt;"00",AV28&lt;&gt;"00"),CONCATENATE(AV27,"-",AW28,"(",AW27,"-",AV28,")"),AND(AV27="00",AV28&lt;&gt;"00"),CONCATENATE(AV28,"-",AW28),AND(AV27&lt;&gt;"00",AV28="00"),CONCATENATE(AV27,"-",AW27))</f>
        <v>#REF!</v>
      </c>
      <c r="AW29" s="105"/>
      <c r="AX29" s="104" t="e" cm="1">
        <f t="array" ref="AX29">_xlfn.IFS(AND(AX27="00",AX28="00"),";H",AND(AX27&lt;&gt;"00",AX28&lt;&gt;"00"),CONCATENATE(AX27,"-",AY28,"(",AY27,"-",AX28,")"),AND(AX27="00",AX28&lt;&gt;"00"),CONCATENATE(AX28,"-",AY28),AND(AX27&lt;&gt;"00",AX28="00"),CONCATENATE(AX27,"-",AY27))</f>
        <v>#REF!</v>
      </c>
      <c r="AY29" s="105"/>
      <c r="AZ29" s="104" t="e" cm="1">
        <f t="array" ref="AZ29">_xlfn.IFS(AND(AZ27="00",AZ28="00"),";H",AND(AZ27&lt;&gt;"00",AZ28&lt;&gt;"00"),CONCATENATE(AZ27,"-",BA28,"(",BA27,"-",AZ28,")"),AND(AZ27="00",AZ28&lt;&gt;"00"),CONCATENATE(AZ28,"-",BA28),AND(AZ27&lt;&gt;"00",AZ28="00"),CONCATENATE(AZ27,"-",BA27))</f>
        <v>#REF!</v>
      </c>
      <c r="BA29" s="105"/>
      <c r="BB29" s="104" t="e" cm="1">
        <f t="array" ref="BB29">_xlfn.IFS(AND(BB27="00",BB28="00"),";H",AND(BB27&lt;&gt;"00",BB28&lt;&gt;"00"),CONCATENATE(BB27,"-",BC28,"(",BC27,"-",BB28,")"),AND(BB27="00",BB28&lt;&gt;"00"),CONCATENATE(BB28,"-",BC28),AND(BB27&lt;&gt;"00",BB28="00"),CONCATENATE(BB27,"-",BC27))</f>
        <v>#REF!</v>
      </c>
      <c r="BC29" s="105"/>
      <c r="BD29" s="104" t="e" cm="1">
        <f t="array" ref="BD29">_xlfn.IFS(AND(BD27="00",BD28="00"),";H",AND(BD27&lt;&gt;"00",BD28&lt;&gt;"00"),CONCATENATE(BD27,"-",BE28,"(",BE27,"-",BD28,")"),AND(BD27="00",BD28&lt;&gt;"00"),CONCATENATE(BD28,"-",BE28),AND(BD27&lt;&gt;"00",BD28="00"),CONCATENATE(BD27,"-",BE27))</f>
        <v>#REF!</v>
      </c>
      <c r="BE29" s="105"/>
      <c r="BF29" s="104" t="e" cm="1">
        <f t="array" ref="BF29">_xlfn.IFS(AND(BF27="00",BF28="00"),";H",AND(BF27&lt;&gt;"00",BF28&lt;&gt;"00"),CONCATENATE(BF27,"-",BG28,"(",BG27,"-",BF28,")"),AND(BF27="00",BF28&lt;&gt;"00"),CONCATENATE(BF28,"-",BG28),AND(BF27&lt;&gt;"00",BF28="00"),CONCATENATE(BF27,"-",BG27))</f>
        <v>#REF!</v>
      </c>
      <c r="BG29" s="105"/>
      <c r="BH29" s="104" t="e" cm="1">
        <f t="array" ref="BH29">_xlfn.IFS(AND(BH27="00",BH28="00"),";H",AND(BH27&lt;&gt;"00",BH28&lt;&gt;"00"),CONCATENATE(BH27,"-",BI28,"(",BI27,"-",BH28,")"),AND(BH27="00",BH28&lt;&gt;"00"),CONCATENATE(BH28,"-",BI28),AND(BH27&lt;&gt;"00",BH28="00"),CONCATENATE(BH27,"-",BI27))</f>
        <v>#REF!</v>
      </c>
      <c r="BI29" s="105"/>
      <c r="BJ29" s="104" t="e" cm="1">
        <f t="array" ref="BJ29">_xlfn.IFS(AND(BJ27="00",BJ28="00"),";H",AND(BJ27&lt;&gt;"00",BJ28&lt;&gt;"00"),CONCATENATE(BJ27,"-",BK28,"(",BK27,"-",BJ28,")"),AND(BJ27="00",BJ28&lt;&gt;"00"),CONCATENATE(BJ28,"-",BK28),AND(BJ27&lt;&gt;"00",BJ28="00"),CONCATENATE(BJ27,"-",BK27))</f>
        <v>#REF!</v>
      </c>
      <c r="BK29" s="105"/>
      <c r="BL29" s="104" t="e" cm="1">
        <f t="array" ref="BL29">_xlfn.IFS(AND(BL27="00",BL28="00"),";H",AND(BL27&lt;&gt;"00",BL28&lt;&gt;"00"),CONCATENATE(BL27,"-",BM28,"(",BM27,"-",BL28,")"),AND(BL27="00",BL28&lt;&gt;"00"),CONCATENATE(BL28,"-",BM28),AND(BL27&lt;&gt;"00",BL28="00"),CONCATENATE(BL27,"-",BM27))</f>
        <v>#REF!</v>
      </c>
      <c r="BM29" s="105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ht="15" thickBot="1">
      <c r="A30" s="83"/>
      <c r="B30" s="145" t="e">
        <f>#REF!</f>
        <v>#REF!</v>
      </c>
      <c r="C30" s="93"/>
      <c r="D30" s="23" t="e">
        <f>IF(MOD(#REF!,1)=0,CONCATENATE(#REF!,"00"),CONCATENATE(INT(#REF!),"30"))</f>
        <v>#REF!</v>
      </c>
      <c r="E30" s="24" t="e">
        <f>IF(MOD(#REF!,1)=0,CONCATENATE(#REF!,"00"),CONCATENATE(INT(#REF!),"30"))</f>
        <v>#REF!</v>
      </c>
      <c r="F30" s="23" t="e">
        <f>IF(MOD(#REF!,1)=0,CONCATENATE(#REF!,"00"),CONCATENATE(INT(#REF!),"30"))</f>
        <v>#REF!</v>
      </c>
      <c r="G30" s="24" t="e">
        <f>IF(MOD(#REF!,1)=0,CONCATENATE(#REF!,"00"),CONCATENATE(INT(#REF!),"30"))</f>
        <v>#REF!</v>
      </c>
      <c r="H30" s="23" t="e">
        <f>IF(MOD(#REF!,1)=0,CONCATENATE(#REF!,"00"),CONCATENATE(INT(#REF!),"30"))</f>
        <v>#REF!</v>
      </c>
      <c r="I30" s="24" t="e">
        <f>IF(MOD(#REF!,1)=0,CONCATENATE(#REF!,"00"),CONCATENATE(INT(#REF!),"30"))</f>
        <v>#REF!</v>
      </c>
      <c r="J30" s="23" t="e">
        <f>IF(MOD(#REF!,1)=0,CONCATENATE(#REF!,"00"),CONCATENATE(INT(#REF!),"30"))</f>
        <v>#REF!</v>
      </c>
      <c r="K30" s="24" t="e">
        <f>IF(MOD(#REF!,1)=0,CONCATENATE(#REF!,"00"),CONCATENATE(INT(#REF!),"30"))</f>
        <v>#REF!</v>
      </c>
      <c r="L30" s="23" t="e">
        <f>IF(MOD(#REF!,1)=0,CONCATENATE(#REF!,"00"),CONCATENATE(INT(#REF!),"30"))</f>
        <v>#REF!</v>
      </c>
      <c r="M30" s="24" t="e">
        <f>IF(MOD(#REF!,1)=0,CONCATENATE(#REF!,"00"),CONCATENATE(INT(#REF!),"30"))</f>
        <v>#REF!</v>
      </c>
      <c r="N30" s="23" t="e">
        <f>IF(MOD(#REF!,1)=0,CONCATENATE(#REF!,"00"),CONCATENATE(INT(#REF!),"30"))</f>
        <v>#REF!</v>
      </c>
      <c r="O30" s="24" t="e">
        <f>IF(MOD(#REF!,1)=0,CONCATENATE(#REF!,"00"),CONCATENATE(INT(#REF!),"30"))</f>
        <v>#REF!</v>
      </c>
      <c r="P30" s="23" t="e">
        <f>IF(MOD(#REF!,1)=0,CONCATENATE(#REF!,"00"),CONCATENATE(INT(#REF!),"30"))</f>
        <v>#REF!</v>
      </c>
      <c r="Q30" s="24" t="e">
        <f>IF(MOD(#REF!,1)=0,CONCATENATE(#REF!,"00"),CONCATENATE(INT(#REF!),"30"))</f>
        <v>#REF!</v>
      </c>
      <c r="R30" s="23" t="e">
        <f>IF(MOD(#REF!,1)=0,CONCATENATE(#REF!,"00"),CONCATENATE(INT(#REF!),"30"))</f>
        <v>#REF!</v>
      </c>
      <c r="S30" s="24" t="e">
        <f>IF(MOD(#REF!,1)=0,CONCATENATE(#REF!,"00"),CONCATENATE(INT(#REF!),"30"))</f>
        <v>#REF!</v>
      </c>
      <c r="T30" s="23" t="e">
        <f>IF(MOD(#REF!,1)=0,CONCATENATE(#REF!,"00"),CONCATENATE(INT(#REF!),"30"))</f>
        <v>#REF!</v>
      </c>
      <c r="U30" s="24" t="e">
        <f>IF(MOD(#REF!,1)=0,CONCATENATE(#REF!,"00"),CONCATENATE(INT(#REF!),"30"))</f>
        <v>#REF!</v>
      </c>
      <c r="V30" s="23" t="e">
        <f>IF(MOD(#REF!,1)=0,CONCATENATE(#REF!,"00"),CONCATENATE(INT(#REF!),"30"))</f>
        <v>#REF!</v>
      </c>
      <c r="W30" s="24" t="e">
        <f>IF(MOD(#REF!,1)=0,CONCATENATE(#REF!,"00"),CONCATENATE(INT(#REF!),"30"))</f>
        <v>#REF!</v>
      </c>
      <c r="X30" s="23" t="e">
        <f>IF(MOD(#REF!,1)=0,CONCATENATE(#REF!,"00"),CONCATENATE(INT(#REF!),"30"))</f>
        <v>#REF!</v>
      </c>
      <c r="Y30" s="24" t="e">
        <f>IF(MOD(#REF!,1)=0,CONCATENATE(#REF!,"00"),CONCATENATE(INT(#REF!),"30"))</f>
        <v>#REF!</v>
      </c>
      <c r="Z30" s="23" t="e">
        <f>IF(MOD(#REF!,1)=0,CONCATENATE(#REF!,"00"),CONCATENATE(INT(#REF!),"30"))</f>
        <v>#REF!</v>
      </c>
      <c r="AA30" s="24" t="e">
        <f>IF(MOD(#REF!,1)=0,CONCATENATE(#REF!,"00"),CONCATENATE(INT(#REF!),"30"))</f>
        <v>#REF!</v>
      </c>
      <c r="AB30" s="23" t="e">
        <f>IF(MOD(#REF!,1)=0,CONCATENATE(#REF!,"00"),CONCATENATE(INT(#REF!),"30"))</f>
        <v>#REF!</v>
      </c>
      <c r="AC30" s="24" t="e">
        <f>IF(MOD(#REF!,1)=0,CONCATENATE(#REF!,"00"),CONCATENATE(INT(#REF!),"30"))</f>
        <v>#REF!</v>
      </c>
      <c r="AD30" s="23" t="e">
        <f>IF(MOD(#REF!,1)=0,CONCATENATE(#REF!,"00"),CONCATENATE(INT(#REF!),"30"))</f>
        <v>#REF!</v>
      </c>
      <c r="AE30" s="24" t="e">
        <f>IF(MOD(#REF!,1)=0,CONCATENATE(#REF!,"00"),CONCATENATE(INT(#REF!),"30"))</f>
        <v>#REF!</v>
      </c>
      <c r="AF30" s="23" t="e">
        <f>IF(MOD(#REF!,1)=0,CONCATENATE(#REF!,"00"),CONCATENATE(INT(#REF!),"30"))</f>
        <v>#REF!</v>
      </c>
      <c r="AG30" s="24" t="e">
        <f>IF(MOD(#REF!,1)=0,CONCATENATE(#REF!,"00"),CONCATENATE(INT(#REF!),"30"))</f>
        <v>#REF!</v>
      </c>
      <c r="AH30" s="23" t="e">
        <f>IF(MOD(#REF!,1)=0,CONCATENATE(#REF!,"00"),CONCATENATE(INT(#REF!),"30"))</f>
        <v>#REF!</v>
      </c>
      <c r="AI30" s="24" t="e">
        <f>IF(MOD(#REF!,1)=0,CONCATENATE(#REF!,"00"),CONCATENATE(INT(#REF!),"30"))</f>
        <v>#REF!</v>
      </c>
      <c r="AJ30" s="23" t="e">
        <f>IF(MOD(#REF!,1)=0,CONCATENATE(#REF!,"00"),CONCATENATE(INT(#REF!),"30"))</f>
        <v>#REF!</v>
      </c>
      <c r="AK30" s="24" t="e">
        <f>IF(MOD(#REF!,1)=0,CONCATENATE(#REF!,"00"),CONCATENATE(INT(#REF!),"30"))</f>
        <v>#REF!</v>
      </c>
      <c r="AL30" s="23" t="e">
        <f>IF(MOD(#REF!,1)=0,CONCATENATE(#REF!,"00"),CONCATENATE(INT(#REF!),"30"))</f>
        <v>#REF!</v>
      </c>
      <c r="AM30" s="24" t="e">
        <f>IF(MOD(#REF!,1)=0,CONCATENATE(#REF!,"00"),CONCATENATE(INT(#REF!),"30"))</f>
        <v>#REF!</v>
      </c>
      <c r="AN30" s="23" t="e">
        <f>IF(MOD(#REF!,1)=0,CONCATENATE(#REF!,"00"),CONCATENATE(INT(#REF!),"30"))</f>
        <v>#REF!</v>
      </c>
      <c r="AO30" s="24" t="e">
        <f>IF(MOD(#REF!,1)=0,CONCATENATE(#REF!,"00"),CONCATENATE(INT(#REF!),"30"))</f>
        <v>#REF!</v>
      </c>
      <c r="AP30" s="23" t="e">
        <f>IF(MOD(#REF!,1)=0,CONCATENATE(#REF!,"00"),CONCATENATE(INT(#REF!),"30"))</f>
        <v>#REF!</v>
      </c>
      <c r="AQ30" s="24" t="e">
        <f>IF(MOD(#REF!,1)=0,CONCATENATE(#REF!,"00"),CONCATENATE(INT(#REF!),"30"))</f>
        <v>#REF!</v>
      </c>
      <c r="AR30" s="23" t="e">
        <f>IF(MOD(#REF!,1)=0,CONCATENATE(#REF!,"00"),CONCATENATE(INT(#REF!),"30"))</f>
        <v>#REF!</v>
      </c>
      <c r="AS30" s="24" t="e">
        <f>IF(MOD(#REF!,1)=0,CONCATENATE(#REF!,"00"),CONCATENATE(INT(#REF!),"30"))</f>
        <v>#REF!</v>
      </c>
      <c r="AT30" s="23" t="e">
        <f>IF(MOD(#REF!,1)=0,CONCATENATE(#REF!,"00"),CONCATENATE(INT(#REF!),"30"))</f>
        <v>#REF!</v>
      </c>
      <c r="AU30" s="24" t="e">
        <f>IF(MOD(#REF!,1)=0,CONCATENATE(#REF!,"00"),CONCATENATE(INT(#REF!),"30"))</f>
        <v>#REF!</v>
      </c>
      <c r="AV30" s="23" t="e">
        <f>IF(MOD(#REF!,1)=0,CONCATENATE(#REF!,"00"),CONCATENATE(INT(#REF!),"30"))</f>
        <v>#REF!</v>
      </c>
      <c r="AW30" s="24" t="e">
        <f>IF(MOD(#REF!,1)=0,CONCATENATE(#REF!,"00"),CONCATENATE(INT(#REF!),"30"))</f>
        <v>#REF!</v>
      </c>
      <c r="AX30" s="23" t="e">
        <f>IF(MOD(#REF!,1)=0,CONCATENATE(#REF!,"00"),CONCATENATE(INT(#REF!),"30"))</f>
        <v>#REF!</v>
      </c>
      <c r="AY30" s="24" t="e">
        <f>IF(MOD(#REF!,1)=0,CONCATENATE(#REF!,"00"),CONCATENATE(INT(#REF!),"30"))</f>
        <v>#REF!</v>
      </c>
      <c r="AZ30" s="23" t="e">
        <f>IF(MOD(#REF!,1)=0,CONCATENATE(#REF!,"00"),CONCATENATE(INT(#REF!),"30"))</f>
        <v>#REF!</v>
      </c>
      <c r="BA30" s="24" t="e">
        <f>IF(MOD(#REF!,1)=0,CONCATENATE(#REF!,"00"),CONCATENATE(INT(#REF!),"30"))</f>
        <v>#REF!</v>
      </c>
      <c r="BB30" s="23" t="e">
        <f>IF(MOD(#REF!,1)=0,CONCATENATE(#REF!,"00"),CONCATENATE(INT(#REF!),"30"))</f>
        <v>#REF!</v>
      </c>
      <c r="BC30" s="24" t="e">
        <f>IF(MOD(#REF!,1)=0,CONCATENATE(#REF!,"00"),CONCATENATE(INT(#REF!),"30"))</f>
        <v>#REF!</v>
      </c>
      <c r="BD30" s="23" t="e">
        <f>IF(MOD(#REF!,1)=0,CONCATENATE(#REF!,"00"),CONCATENATE(INT(#REF!),"30"))</f>
        <v>#REF!</v>
      </c>
      <c r="BE30" s="24" t="e">
        <f>IF(MOD(#REF!,1)=0,CONCATENATE(#REF!,"00"),CONCATENATE(INT(#REF!),"30"))</f>
        <v>#REF!</v>
      </c>
      <c r="BF30" s="23" t="e">
        <f>IF(MOD(#REF!,1)=0,CONCATENATE(#REF!,"00"),CONCATENATE(INT(#REF!),"30"))</f>
        <v>#REF!</v>
      </c>
      <c r="BG30" s="24" t="e">
        <f>IF(MOD(#REF!,1)=0,CONCATENATE(#REF!,"00"),CONCATENATE(INT(#REF!),"30"))</f>
        <v>#REF!</v>
      </c>
      <c r="BH30" s="23" t="e">
        <f>IF(MOD(#REF!,1)=0,CONCATENATE(#REF!,"00"),CONCATENATE(INT(#REF!),"30"))</f>
        <v>#REF!</v>
      </c>
      <c r="BI30" s="24" t="e">
        <f>IF(MOD(#REF!,1)=0,CONCATENATE(#REF!,"00"),CONCATENATE(INT(#REF!),"30"))</f>
        <v>#REF!</v>
      </c>
      <c r="BJ30" s="23" t="e">
        <f>IF(MOD(#REF!,1)=0,CONCATENATE(#REF!,"00"),CONCATENATE(INT(#REF!),"30"))</f>
        <v>#REF!</v>
      </c>
      <c r="BK30" s="24" t="e">
        <f>IF(MOD(#REF!,1)=0,CONCATENATE(#REF!,"00"),CONCATENATE(INT(#REF!),"30"))</f>
        <v>#REF!</v>
      </c>
      <c r="BL30" s="23" t="e">
        <f>IF(MOD(#REF!,1)=0,CONCATENATE(#REF!,"00"),CONCATENATE(INT(#REF!),"30"))</f>
        <v>#REF!</v>
      </c>
      <c r="BM30" s="24" t="e">
        <f>IF(MOD(#REF!,1)=0,CONCATENATE(#REF!,"00"),CONCATENATE(INT(#REF!),"30"))</f>
        <v>#REF!</v>
      </c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ht="15" thickBot="1">
      <c r="A31" s="84"/>
      <c r="B31" s="86"/>
      <c r="C31" s="94"/>
      <c r="D31" s="25" t="e">
        <f>IF(MOD(#REF!,1)=0,CONCATENATE(#REF!,"00"),CONCATENATE(INT(#REF!),"30"))</f>
        <v>#REF!</v>
      </c>
      <c r="E31" s="26" t="e">
        <f>IF(MOD(#REF!,1)=0,CONCATENATE(#REF!,"00"),CONCATENATE(INT(#REF!),"30"))</f>
        <v>#REF!</v>
      </c>
      <c r="F31" s="25" t="e">
        <f>IF(MOD(#REF!,1)=0,CONCATENATE(#REF!,"00"),CONCATENATE(INT(#REF!),"30"))</f>
        <v>#REF!</v>
      </c>
      <c r="G31" s="26" t="e">
        <f>IF(MOD(#REF!,1)=0,CONCATENATE(#REF!,"00"),CONCATENATE(INT(#REF!),"30"))</f>
        <v>#REF!</v>
      </c>
      <c r="H31" s="25" t="e">
        <f>IF(MOD(#REF!,1)=0,CONCATENATE(#REF!,"00"),CONCATENATE(INT(#REF!),"30"))</f>
        <v>#REF!</v>
      </c>
      <c r="I31" s="26" t="e">
        <f>IF(MOD(#REF!,1)=0,CONCATENATE(#REF!,"00"),CONCATENATE(INT(#REF!),"30"))</f>
        <v>#REF!</v>
      </c>
      <c r="J31" s="25" t="e">
        <f>IF(MOD(#REF!,1)=0,CONCATENATE(#REF!,"00"),CONCATENATE(INT(#REF!),"30"))</f>
        <v>#REF!</v>
      </c>
      <c r="K31" s="26" t="e">
        <f>IF(MOD(#REF!,1)=0,CONCATENATE(#REF!,"00"),CONCATENATE(INT(#REF!),"30"))</f>
        <v>#REF!</v>
      </c>
      <c r="L31" s="25" t="e">
        <f>IF(MOD(#REF!,1)=0,CONCATENATE(#REF!,"00"),CONCATENATE(INT(#REF!),"30"))</f>
        <v>#REF!</v>
      </c>
      <c r="M31" s="26" t="e">
        <f>IF(MOD(#REF!,1)=0,CONCATENATE(#REF!,"00"),CONCATENATE(INT(#REF!),"30"))</f>
        <v>#REF!</v>
      </c>
      <c r="N31" s="25" t="e">
        <f>IF(MOD(#REF!,1)=0,CONCATENATE(#REF!,"00"),CONCATENATE(INT(#REF!),"30"))</f>
        <v>#REF!</v>
      </c>
      <c r="O31" s="26" t="e">
        <f>IF(MOD(#REF!,1)=0,CONCATENATE(#REF!,"00"),CONCATENATE(INT(#REF!),"30"))</f>
        <v>#REF!</v>
      </c>
      <c r="P31" s="25" t="e">
        <f>IF(MOD(#REF!,1)=0,CONCATENATE(#REF!,"00"),CONCATENATE(INT(#REF!),"30"))</f>
        <v>#REF!</v>
      </c>
      <c r="Q31" s="26" t="e">
        <f>IF(MOD(#REF!,1)=0,CONCATENATE(#REF!,"00"),CONCATENATE(INT(#REF!),"30"))</f>
        <v>#REF!</v>
      </c>
      <c r="R31" s="25" t="e">
        <f>IF(MOD(#REF!,1)=0,CONCATENATE(#REF!,"00"),CONCATENATE(INT(#REF!),"30"))</f>
        <v>#REF!</v>
      </c>
      <c r="S31" s="26" t="e">
        <f>IF(MOD(#REF!,1)=0,CONCATENATE(#REF!,"00"),CONCATENATE(INT(#REF!),"30"))</f>
        <v>#REF!</v>
      </c>
      <c r="T31" s="25" t="e">
        <f>IF(MOD(#REF!,1)=0,CONCATENATE(#REF!,"00"),CONCATENATE(INT(#REF!),"30"))</f>
        <v>#REF!</v>
      </c>
      <c r="U31" s="26" t="e">
        <f>IF(MOD(#REF!,1)=0,CONCATENATE(#REF!,"00"),CONCATENATE(INT(#REF!),"30"))</f>
        <v>#REF!</v>
      </c>
      <c r="V31" s="25" t="e">
        <f>IF(MOD(#REF!,1)=0,CONCATENATE(#REF!,"00"),CONCATENATE(INT(#REF!),"30"))</f>
        <v>#REF!</v>
      </c>
      <c r="W31" s="26" t="e">
        <f>IF(MOD(#REF!,1)=0,CONCATENATE(#REF!,"00"),CONCATENATE(INT(#REF!),"30"))</f>
        <v>#REF!</v>
      </c>
      <c r="X31" s="25" t="e">
        <f>IF(MOD(#REF!,1)=0,CONCATENATE(#REF!,"00"),CONCATENATE(INT(#REF!),"30"))</f>
        <v>#REF!</v>
      </c>
      <c r="Y31" s="26" t="e">
        <f>IF(MOD(#REF!,1)=0,CONCATENATE(#REF!,"00"),CONCATENATE(INT(#REF!),"30"))</f>
        <v>#REF!</v>
      </c>
      <c r="Z31" s="25" t="e">
        <f>IF(MOD(#REF!,1)=0,CONCATENATE(#REF!,"00"),CONCATENATE(INT(#REF!),"30"))</f>
        <v>#REF!</v>
      </c>
      <c r="AA31" s="26" t="e">
        <f>IF(MOD(#REF!,1)=0,CONCATENATE(#REF!,"00"),CONCATENATE(INT(#REF!),"30"))</f>
        <v>#REF!</v>
      </c>
      <c r="AB31" s="25" t="e">
        <f>IF(MOD(#REF!,1)=0,CONCATENATE(#REF!,"00"),CONCATENATE(INT(#REF!),"30"))</f>
        <v>#REF!</v>
      </c>
      <c r="AC31" s="26" t="e">
        <f>IF(MOD(#REF!,1)=0,CONCATENATE(#REF!,"00"),CONCATENATE(INT(#REF!),"30"))</f>
        <v>#REF!</v>
      </c>
      <c r="AD31" s="25" t="e">
        <f>IF(MOD(#REF!,1)=0,CONCATENATE(#REF!,"00"),CONCATENATE(INT(#REF!),"30"))</f>
        <v>#REF!</v>
      </c>
      <c r="AE31" s="26" t="e">
        <f>IF(MOD(#REF!,1)=0,CONCATENATE(#REF!,"00"),CONCATENATE(INT(#REF!),"30"))</f>
        <v>#REF!</v>
      </c>
      <c r="AF31" s="25" t="e">
        <f>IF(MOD(#REF!,1)=0,CONCATENATE(#REF!,"00"),CONCATENATE(INT(#REF!),"30"))</f>
        <v>#REF!</v>
      </c>
      <c r="AG31" s="26" t="e">
        <f>IF(MOD(#REF!,1)=0,CONCATENATE(#REF!,"00"),CONCATENATE(INT(#REF!),"30"))</f>
        <v>#REF!</v>
      </c>
      <c r="AH31" s="25" t="e">
        <f>IF(MOD(#REF!,1)=0,CONCATENATE(#REF!,"00"),CONCATENATE(INT(#REF!),"30"))</f>
        <v>#REF!</v>
      </c>
      <c r="AI31" s="26" t="e">
        <f>IF(MOD(#REF!,1)=0,CONCATENATE(#REF!,"00"),CONCATENATE(INT(#REF!),"30"))</f>
        <v>#REF!</v>
      </c>
      <c r="AJ31" s="25" t="e">
        <f>IF(MOD(#REF!,1)=0,CONCATENATE(#REF!,"00"),CONCATENATE(INT(#REF!),"30"))</f>
        <v>#REF!</v>
      </c>
      <c r="AK31" s="26" t="e">
        <f>IF(MOD(#REF!,1)=0,CONCATENATE(#REF!,"00"),CONCATENATE(INT(#REF!),"30"))</f>
        <v>#REF!</v>
      </c>
      <c r="AL31" s="25" t="e">
        <f>IF(MOD(#REF!,1)=0,CONCATENATE(#REF!,"00"),CONCATENATE(INT(#REF!),"30"))</f>
        <v>#REF!</v>
      </c>
      <c r="AM31" s="26" t="e">
        <f>IF(MOD(#REF!,1)=0,CONCATENATE(#REF!,"00"),CONCATENATE(INT(#REF!),"30"))</f>
        <v>#REF!</v>
      </c>
      <c r="AN31" s="25" t="e">
        <f>IF(MOD(#REF!,1)=0,CONCATENATE(#REF!,"00"),CONCATENATE(INT(#REF!),"30"))</f>
        <v>#REF!</v>
      </c>
      <c r="AO31" s="26" t="e">
        <f>IF(MOD(#REF!,1)=0,CONCATENATE(#REF!,"00"),CONCATENATE(INT(#REF!),"30"))</f>
        <v>#REF!</v>
      </c>
      <c r="AP31" s="25" t="e">
        <f>IF(MOD(#REF!,1)=0,CONCATENATE(#REF!,"00"),CONCATENATE(INT(#REF!),"30"))</f>
        <v>#REF!</v>
      </c>
      <c r="AQ31" s="26" t="e">
        <f>IF(MOD(#REF!,1)=0,CONCATENATE(#REF!,"00"),CONCATENATE(INT(#REF!),"30"))</f>
        <v>#REF!</v>
      </c>
      <c r="AR31" s="25" t="e">
        <f>IF(MOD(#REF!,1)=0,CONCATENATE(#REF!,"00"),CONCATENATE(INT(#REF!),"30"))</f>
        <v>#REF!</v>
      </c>
      <c r="AS31" s="26" t="e">
        <f>IF(MOD(#REF!,1)=0,CONCATENATE(#REF!,"00"),CONCATENATE(INT(#REF!),"30"))</f>
        <v>#REF!</v>
      </c>
      <c r="AT31" s="25" t="e">
        <f>IF(MOD(#REF!,1)=0,CONCATENATE(#REF!,"00"),CONCATENATE(INT(#REF!),"30"))</f>
        <v>#REF!</v>
      </c>
      <c r="AU31" s="26" t="e">
        <f>IF(MOD(#REF!,1)=0,CONCATENATE(#REF!,"00"),CONCATENATE(INT(#REF!),"30"))</f>
        <v>#REF!</v>
      </c>
      <c r="AV31" s="25" t="e">
        <f>IF(MOD(#REF!,1)=0,CONCATENATE(#REF!,"00"),CONCATENATE(INT(#REF!),"30"))</f>
        <v>#REF!</v>
      </c>
      <c r="AW31" s="26" t="e">
        <f>IF(MOD(#REF!,1)=0,CONCATENATE(#REF!,"00"),CONCATENATE(INT(#REF!),"30"))</f>
        <v>#REF!</v>
      </c>
      <c r="AX31" s="25" t="e">
        <f>IF(MOD(#REF!,1)=0,CONCATENATE(#REF!,"00"),CONCATENATE(INT(#REF!),"30"))</f>
        <v>#REF!</v>
      </c>
      <c r="AY31" s="26" t="e">
        <f>IF(MOD(#REF!,1)=0,CONCATENATE(#REF!,"00"),CONCATENATE(INT(#REF!),"30"))</f>
        <v>#REF!</v>
      </c>
      <c r="AZ31" s="25" t="e">
        <f>IF(MOD(#REF!,1)=0,CONCATENATE(#REF!,"00"),CONCATENATE(INT(#REF!),"30"))</f>
        <v>#REF!</v>
      </c>
      <c r="BA31" s="26" t="e">
        <f>IF(MOD(#REF!,1)=0,CONCATENATE(#REF!,"00"),CONCATENATE(INT(#REF!),"30"))</f>
        <v>#REF!</v>
      </c>
      <c r="BB31" s="25" t="e">
        <f>IF(MOD(#REF!,1)=0,CONCATENATE(#REF!,"00"),CONCATENATE(INT(#REF!),"30"))</f>
        <v>#REF!</v>
      </c>
      <c r="BC31" s="26" t="e">
        <f>IF(MOD(#REF!,1)=0,CONCATENATE(#REF!,"00"),CONCATENATE(INT(#REF!),"30"))</f>
        <v>#REF!</v>
      </c>
      <c r="BD31" s="25" t="e">
        <f>IF(MOD(#REF!,1)=0,CONCATENATE(#REF!,"00"),CONCATENATE(INT(#REF!),"30"))</f>
        <v>#REF!</v>
      </c>
      <c r="BE31" s="26" t="e">
        <f>IF(MOD(#REF!,1)=0,CONCATENATE(#REF!,"00"),CONCATENATE(INT(#REF!),"30"))</f>
        <v>#REF!</v>
      </c>
      <c r="BF31" s="25" t="e">
        <f>IF(MOD(#REF!,1)=0,CONCATENATE(#REF!,"00"),CONCATENATE(INT(#REF!),"30"))</f>
        <v>#REF!</v>
      </c>
      <c r="BG31" s="26" t="e">
        <f>IF(MOD(#REF!,1)=0,CONCATENATE(#REF!,"00"),CONCATENATE(INT(#REF!),"30"))</f>
        <v>#REF!</v>
      </c>
      <c r="BH31" s="25" t="e">
        <f>IF(MOD(#REF!,1)=0,CONCATENATE(#REF!,"00"),CONCATENATE(INT(#REF!),"30"))</f>
        <v>#REF!</v>
      </c>
      <c r="BI31" s="26" t="e">
        <f>IF(MOD(#REF!,1)=0,CONCATENATE(#REF!,"00"),CONCATENATE(INT(#REF!),"30"))</f>
        <v>#REF!</v>
      </c>
      <c r="BJ31" s="25" t="e">
        <f>IF(MOD(#REF!,1)=0,CONCATENATE(#REF!,"00"),CONCATENATE(INT(#REF!),"30"))</f>
        <v>#REF!</v>
      </c>
      <c r="BK31" s="26" t="e">
        <f>IF(MOD(#REF!,1)=0,CONCATENATE(#REF!,"00"),CONCATENATE(INT(#REF!),"30"))</f>
        <v>#REF!</v>
      </c>
      <c r="BL31" s="25" t="e">
        <f>IF(MOD(#REF!,1)=0,CONCATENATE(#REF!,"00"),CONCATENATE(INT(#REF!),"30"))</f>
        <v>#REF!</v>
      </c>
      <c r="BM31" s="26" t="e">
        <f>IF(MOD(#REF!,1)=0,CONCATENATE(#REF!,"00"),CONCATENATE(INT(#REF!),"30"))</f>
        <v>#REF!</v>
      </c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ht="40" customHeight="1" thickBot="1">
      <c r="A32" s="47"/>
      <c r="B32" s="84"/>
      <c r="C32" s="95"/>
      <c r="D32" s="104" t="e" cm="1">
        <f t="array" ref="D32">_xlfn.IFS(AND(D30="00",D31="00"),";H",AND(D30&lt;&gt;"00",D31&lt;&gt;"00"),CONCATENATE(D30,"-",E31,"(",E30,"-",D31,")"),AND(D30="00",D31&lt;&gt;"00"),CONCATENATE(D31,"-",E31),AND(D30&lt;&gt;"00",D31="00"),CONCATENATE(D30,"-",E30))</f>
        <v>#REF!</v>
      </c>
      <c r="E32" s="105"/>
      <c r="F32" s="104" t="e" cm="1">
        <f t="array" ref="F32">_xlfn.IFS(AND(F30="00",F31="00"),";H",AND(F30&lt;&gt;"00",F31&lt;&gt;"00"),CONCATENATE(F30,"-",G31,"(",G30,"-",F31,")"),AND(F30="00",F31&lt;&gt;"00"),CONCATENATE(F31,"-",G31),AND(F30&lt;&gt;"00",F31="00"),CONCATENATE(F30,"-",G30))</f>
        <v>#REF!</v>
      </c>
      <c r="G32" s="105"/>
      <c r="H32" s="104" t="e" cm="1">
        <f t="array" ref="H32">_xlfn.IFS(AND(H30="00",H31="00"),";H",AND(H30&lt;&gt;"00",H31&lt;&gt;"00"),CONCATENATE(H30,"-",I31,"(",I30,"-",H31,")"),AND(H30="00",H31&lt;&gt;"00"),CONCATENATE(H31,"-",I31),AND(H30&lt;&gt;"00",H31="00"),CONCATENATE(H30,"-",I30))</f>
        <v>#REF!</v>
      </c>
      <c r="I32" s="105"/>
      <c r="J32" s="104" t="e" cm="1">
        <f t="array" ref="J32">_xlfn.IFS(AND(J30="00",J31="00"),";H",AND(J30&lt;&gt;"00",J31&lt;&gt;"00"),CONCATENATE(J30,"-",K31,"(",K30,"-",J31,")"),AND(J30="00",J31&lt;&gt;"00"),CONCATENATE(J31,"-",K31),AND(J30&lt;&gt;"00",J31="00"),CONCATENATE(J30,"-",K30))</f>
        <v>#REF!</v>
      </c>
      <c r="K32" s="105"/>
      <c r="L32" s="104" t="e" cm="1">
        <f t="array" ref="L32">_xlfn.IFS(AND(L30="00",L31="00"),";H",AND(L30&lt;&gt;"00",L31&lt;&gt;"00"),CONCATENATE(L30,"-",M31,"(",M30,"-",L31,")"),AND(L30="00",L31&lt;&gt;"00"),CONCATENATE(L31,"-",M31),AND(L30&lt;&gt;"00",L31="00"),CONCATENATE(L30,"-",M30))</f>
        <v>#REF!</v>
      </c>
      <c r="M32" s="105"/>
      <c r="N32" s="104" t="e" cm="1">
        <f t="array" ref="N32">_xlfn.IFS(AND(N30="00",N31="00"),";H",AND(N30&lt;&gt;"00",N31&lt;&gt;"00"),CONCATENATE(N30,"-",O31,"(",O30,"-",N31,")"),AND(N30="00",N31&lt;&gt;"00"),CONCATENATE(N31,"-",O31),AND(N30&lt;&gt;"00",N31="00"),CONCATENATE(N30,"-",O30))</f>
        <v>#REF!</v>
      </c>
      <c r="O32" s="105"/>
      <c r="P32" s="104" t="e" cm="1">
        <f t="array" ref="P32">_xlfn.IFS(AND(P30="00",P31="00"),";H",AND(P30&lt;&gt;"00",P31&lt;&gt;"00"),CONCATENATE(P30,"-",Q31,"(",Q30,"-",P31,")"),AND(P30="00",P31&lt;&gt;"00"),CONCATENATE(P31,"-",Q31),AND(P30&lt;&gt;"00",P31="00"),CONCATENATE(P30,"-",Q30))</f>
        <v>#REF!</v>
      </c>
      <c r="Q32" s="105"/>
      <c r="R32" s="104" t="e" cm="1">
        <f t="array" ref="R32">_xlfn.IFS(AND(R30="00",R31="00"),";H",AND(R30&lt;&gt;"00",R31&lt;&gt;"00"),CONCATENATE(R30,"-",S31,"(",S30,"-",R31,")"),AND(R30="00",R31&lt;&gt;"00"),CONCATENATE(R31,"-",S31),AND(R30&lt;&gt;"00",R31="00"),CONCATENATE(R30,"-",S30))</f>
        <v>#REF!</v>
      </c>
      <c r="S32" s="105"/>
      <c r="T32" s="104" t="e" cm="1">
        <f t="array" ref="T32">_xlfn.IFS(AND(T30="00",T31="00"),";H",AND(T30&lt;&gt;"00",T31&lt;&gt;"00"),CONCATENATE(T30,"-",U31,"(",U30,"-",T31,")"),AND(T30="00",T31&lt;&gt;"00"),CONCATENATE(T31,"-",U31),AND(T30&lt;&gt;"00",T31="00"),CONCATENATE(T30,"-",U30))</f>
        <v>#REF!</v>
      </c>
      <c r="U32" s="105"/>
      <c r="V32" s="104" t="e" cm="1">
        <f t="array" ref="V32">_xlfn.IFS(AND(V30="00",V31="00"),";H",AND(V30&lt;&gt;"00",V31&lt;&gt;"00"),CONCATENATE(V30,"-",W31,"(",W30,"-",V31,")"),AND(V30="00",V31&lt;&gt;"00"),CONCATENATE(V31,"-",W31),AND(V30&lt;&gt;"00",V31="00"),CONCATENATE(V30,"-",W30))</f>
        <v>#REF!</v>
      </c>
      <c r="W32" s="105"/>
      <c r="X32" s="104" t="e" cm="1">
        <f t="array" ref="X32">_xlfn.IFS(AND(X30="00",X31="00"),";H",AND(X30&lt;&gt;"00",X31&lt;&gt;"00"),CONCATENATE(X30,"-",Y31,"(",Y30,"-",X31,")"),AND(X30="00",X31&lt;&gt;"00"),CONCATENATE(X31,"-",Y31),AND(X30&lt;&gt;"00",X31="00"),CONCATENATE(X30,"-",Y30))</f>
        <v>#REF!</v>
      </c>
      <c r="Y32" s="105"/>
      <c r="Z32" s="104" t="e" cm="1">
        <f t="array" ref="Z32">_xlfn.IFS(AND(Z30="00",Z31="00"),";H",AND(Z30&lt;&gt;"00",Z31&lt;&gt;"00"),CONCATENATE(Z30,"-",AA31,"(",AA30,"-",Z31,")"),AND(Z30="00",Z31&lt;&gt;"00"),CONCATENATE(Z31,"-",AA31),AND(Z30&lt;&gt;"00",Z31="00"),CONCATENATE(Z30,"-",AA30))</f>
        <v>#REF!</v>
      </c>
      <c r="AA32" s="105"/>
      <c r="AB32" s="104" t="e" cm="1">
        <f t="array" ref="AB32">_xlfn.IFS(AND(AB30="00",AB31="00"),";H",AND(AB30&lt;&gt;"00",AB31&lt;&gt;"00"),CONCATENATE(AB30,"-",AC31,"(",AC30,"-",AB31,")"),AND(AB30="00",AB31&lt;&gt;"00"),CONCATENATE(AB31,"-",AC31),AND(AB30&lt;&gt;"00",AB31="00"),CONCATENATE(AB30,"-",AC30))</f>
        <v>#REF!</v>
      </c>
      <c r="AC32" s="105"/>
      <c r="AD32" s="104" t="e" cm="1">
        <f t="array" ref="AD32">_xlfn.IFS(AND(AD30="00",AD31="00"),";H",AND(AD30&lt;&gt;"00",AD31&lt;&gt;"00"),CONCATENATE(AD30,"-",AE31,"(",AE30,"-",AD31,")"),AND(AD30="00",AD31&lt;&gt;"00"),CONCATENATE(AD31,"-",AE31),AND(AD30&lt;&gt;"00",AD31="00"),CONCATENATE(AD30,"-",AE30))</f>
        <v>#REF!</v>
      </c>
      <c r="AE32" s="105"/>
      <c r="AF32" s="104" t="e" cm="1">
        <f t="array" ref="AF32">_xlfn.IFS(AND(AF30="00",AF31="00"),";H",AND(AF30&lt;&gt;"00",AF31&lt;&gt;"00"),CONCATENATE(AF30,"-",AG31,"(",AG30,"-",AF31,")"),AND(AF30="00",AF31&lt;&gt;"00"),CONCATENATE(AF31,"-",AG31),AND(AF30&lt;&gt;"00",AF31="00"),CONCATENATE(AF30,"-",AG30))</f>
        <v>#REF!</v>
      </c>
      <c r="AG32" s="105"/>
      <c r="AH32" s="104" t="e" cm="1">
        <f t="array" ref="AH32">_xlfn.IFS(AND(AH30="00",AH31="00"),";H",AND(AH30&lt;&gt;"00",AH31&lt;&gt;"00"),CONCATENATE(AH30,"-",AI31,"(",AI30,"-",AH31,")"),AND(AH30="00",AH31&lt;&gt;"00"),CONCATENATE(AH31,"-",AI31),AND(AH30&lt;&gt;"00",AH31="00"),CONCATENATE(AH30,"-",AI30))</f>
        <v>#REF!</v>
      </c>
      <c r="AI32" s="105"/>
      <c r="AJ32" s="104" t="e" cm="1">
        <f t="array" ref="AJ32">_xlfn.IFS(AND(AJ30="00",AJ31="00"),";H",AND(AJ30&lt;&gt;"00",AJ31&lt;&gt;"00"),CONCATENATE(AJ30,"-",AK31,"(",AK30,"-",AJ31,")"),AND(AJ30="00",AJ31&lt;&gt;"00"),CONCATENATE(AJ31,"-",AK31),AND(AJ30&lt;&gt;"00",AJ31="00"),CONCATENATE(AJ30,"-",AK30))</f>
        <v>#REF!</v>
      </c>
      <c r="AK32" s="105"/>
      <c r="AL32" s="104" t="e" cm="1">
        <f t="array" ref="AL32">_xlfn.IFS(AND(AL30="00",AL31="00"),";H",AND(AL30&lt;&gt;"00",AL31&lt;&gt;"00"),CONCATENATE(AL30,"-",AM31,"(",AM30,"-",AL31,")"),AND(AL30="00",AL31&lt;&gt;"00"),CONCATENATE(AL31,"-",AM31),AND(AL30&lt;&gt;"00",AL31="00"),CONCATENATE(AL30,"-",AM30))</f>
        <v>#REF!</v>
      </c>
      <c r="AM32" s="105"/>
      <c r="AN32" s="104" t="e" cm="1">
        <f t="array" ref="AN32">_xlfn.IFS(AND(AN30="00",AN31="00"),";H",AND(AN30&lt;&gt;"00",AN31&lt;&gt;"00"),CONCATENATE(AN30,"-",AO31,"(",AO30,"-",AN31,")"),AND(AN30="00",AN31&lt;&gt;"00"),CONCATENATE(AN31,"-",AO31),AND(AN30&lt;&gt;"00",AN31="00"),CONCATENATE(AN30,"-",AO30))</f>
        <v>#REF!</v>
      </c>
      <c r="AO32" s="105"/>
      <c r="AP32" s="104" t="e" cm="1">
        <f t="array" ref="AP32">_xlfn.IFS(AND(AP30="00",AP31="00"),";H",AND(AP30&lt;&gt;"00",AP31&lt;&gt;"00"),CONCATENATE(AP30,"-",AQ31,"(",AQ30,"-",AP31,")"),AND(AP30="00",AP31&lt;&gt;"00"),CONCATENATE(AP31,"-",AQ31),AND(AP30&lt;&gt;"00",AP31="00"),CONCATENATE(AP30,"-",AQ30))</f>
        <v>#REF!</v>
      </c>
      <c r="AQ32" s="105"/>
      <c r="AR32" s="104" t="e" cm="1">
        <f t="array" ref="AR32">_xlfn.IFS(AND(AR30="00",AR31="00"),";H",AND(AR30&lt;&gt;"00",AR31&lt;&gt;"00"),CONCATENATE(AR30,"-",AS31,"(",AS30,"-",AR31,")"),AND(AR30="00",AR31&lt;&gt;"00"),CONCATENATE(AR31,"-",AS31),AND(AR30&lt;&gt;"00",AR31="00"),CONCATENATE(AR30,"-",AS30))</f>
        <v>#REF!</v>
      </c>
      <c r="AS32" s="105"/>
      <c r="AT32" s="104" t="e" cm="1">
        <f t="array" ref="AT32">_xlfn.IFS(AND(AT30="00",AT31="00"),";H",AND(AT30&lt;&gt;"00",AT31&lt;&gt;"00"),CONCATENATE(AT30,"-",AU31,"(",AU30,"-",AT31,")"),AND(AT30="00",AT31&lt;&gt;"00"),CONCATENATE(AT31,"-",AU31),AND(AT30&lt;&gt;"00",AT31="00"),CONCATENATE(AT30,"-",AU30))</f>
        <v>#REF!</v>
      </c>
      <c r="AU32" s="105"/>
      <c r="AV32" s="104" t="e" cm="1">
        <f t="array" ref="AV32">_xlfn.IFS(AND(AV30="00",AV31="00"),";H",AND(AV30&lt;&gt;"00",AV31&lt;&gt;"00"),CONCATENATE(AV30,"-",AW31,"(",AW30,"-",AV31,")"),AND(AV30="00",AV31&lt;&gt;"00"),CONCATENATE(AV31,"-",AW31),AND(AV30&lt;&gt;"00",AV31="00"),CONCATENATE(AV30,"-",AW30))</f>
        <v>#REF!</v>
      </c>
      <c r="AW32" s="105"/>
      <c r="AX32" s="104" t="e" cm="1">
        <f t="array" ref="AX32">_xlfn.IFS(AND(AX30="00",AX31="00"),";H",AND(AX30&lt;&gt;"00",AX31&lt;&gt;"00"),CONCATENATE(AX30,"-",AY31,"(",AY30,"-",AX31,")"),AND(AX30="00",AX31&lt;&gt;"00"),CONCATENATE(AX31,"-",AY31),AND(AX30&lt;&gt;"00",AX31="00"),CONCATENATE(AX30,"-",AY30))</f>
        <v>#REF!</v>
      </c>
      <c r="AY32" s="105"/>
      <c r="AZ32" s="104" t="e" cm="1">
        <f t="array" ref="AZ32">_xlfn.IFS(AND(AZ30="00",AZ31="00"),";H",AND(AZ30&lt;&gt;"00",AZ31&lt;&gt;"00"),CONCATENATE(AZ30,"-",BA31,"(",BA30,"-",AZ31,")"),AND(AZ30="00",AZ31&lt;&gt;"00"),CONCATENATE(AZ31,"-",BA31),AND(AZ30&lt;&gt;"00",AZ31="00"),CONCATENATE(AZ30,"-",BA30))</f>
        <v>#REF!</v>
      </c>
      <c r="BA32" s="105"/>
      <c r="BB32" s="104" t="e" cm="1">
        <f t="array" ref="BB32">_xlfn.IFS(AND(BB30="00",BB31="00"),";H",AND(BB30&lt;&gt;"00",BB31&lt;&gt;"00"),CONCATENATE(BB30,"-",BC31,"(",BC30,"-",BB31,")"),AND(BB30="00",BB31&lt;&gt;"00"),CONCATENATE(BB31,"-",BC31),AND(BB30&lt;&gt;"00",BB31="00"),CONCATENATE(BB30,"-",BC30))</f>
        <v>#REF!</v>
      </c>
      <c r="BC32" s="105"/>
      <c r="BD32" s="104" t="e" cm="1">
        <f t="array" ref="BD32">_xlfn.IFS(AND(BD30="00",BD31="00"),";H",AND(BD30&lt;&gt;"00",BD31&lt;&gt;"00"),CONCATENATE(BD30,"-",BE31,"(",BE30,"-",BD31,")"),AND(BD30="00",BD31&lt;&gt;"00"),CONCATENATE(BD31,"-",BE31),AND(BD30&lt;&gt;"00",BD31="00"),CONCATENATE(BD30,"-",BE30))</f>
        <v>#REF!</v>
      </c>
      <c r="BE32" s="105"/>
      <c r="BF32" s="104" t="e" cm="1">
        <f t="array" ref="BF32">_xlfn.IFS(AND(BF30="00",BF31="00"),";H",AND(BF30&lt;&gt;"00",BF31&lt;&gt;"00"),CONCATENATE(BF30,"-",BG31,"(",BG30,"-",BF31,")"),AND(BF30="00",BF31&lt;&gt;"00"),CONCATENATE(BF31,"-",BG31),AND(BF30&lt;&gt;"00",BF31="00"),CONCATENATE(BF30,"-",BG30))</f>
        <v>#REF!</v>
      </c>
      <c r="BG32" s="105"/>
      <c r="BH32" s="104" t="e" cm="1">
        <f t="array" ref="BH32">_xlfn.IFS(AND(BH30="00",BH31="00"),";H",AND(BH30&lt;&gt;"00",BH31&lt;&gt;"00"),CONCATENATE(BH30,"-",BI31,"(",BI30,"-",BH31,")"),AND(BH30="00",BH31&lt;&gt;"00"),CONCATENATE(BH31,"-",BI31),AND(BH30&lt;&gt;"00",BH31="00"),CONCATENATE(BH30,"-",BI30))</f>
        <v>#REF!</v>
      </c>
      <c r="BI32" s="105"/>
      <c r="BJ32" s="104" t="e" cm="1">
        <f t="array" ref="BJ32">_xlfn.IFS(AND(BJ30="00",BJ31="00"),";H",AND(BJ30&lt;&gt;"00",BJ31&lt;&gt;"00"),CONCATENATE(BJ30,"-",BK31,"(",BK30,"-",BJ31,")"),AND(BJ30="00",BJ31&lt;&gt;"00"),CONCATENATE(BJ31,"-",BK31),AND(BJ30&lt;&gt;"00",BJ31="00"),CONCATENATE(BJ30,"-",BK30))</f>
        <v>#REF!</v>
      </c>
      <c r="BK32" s="105"/>
      <c r="BL32" s="104" t="e" cm="1">
        <f t="array" ref="BL32">_xlfn.IFS(AND(BL30="00",BL31="00"),";H",AND(BL30&lt;&gt;"00",BL31&lt;&gt;"00"),CONCATENATE(BL30,"-",BM31,"(",BM30,"-",BL31,")"),AND(BL30="00",BL31&lt;&gt;"00"),CONCATENATE(BL31,"-",BM31),AND(BL30&lt;&gt;"00",BL31="00"),CONCATENATE(BL30,"-",BM30))</f>
        <v>#REF!</v>
      </c>
      <c r="BM32" s="105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81" ht="15" thickBot="1">
      <c r="A33" s="83"/>
      <c r="B33" s="145" t="e">
        <f>#REF!</f>
        <v>#REF!</v>
      </c>
      <c r="C33" s="93"/>
      <c r="D33" s="23" t="e">
        <f>IF(MOD(#REF!,1)=0,CONCATENATE(#REF!,"00"),CONCATENATE(INT(#REF!),"30"))</f>
        <v>#REF!</v>
      </c>
      <c r="E33" s="24" t="e">
        <f>IF(MOD(#REF!,1)=0,CONCATENATE(#REF!,"00"),CONCATENATE(INT(#REF!),"30"))</f>
        <v>#REF!</v>
      </c>
      <c r="F33" s="23" t="e">
        <f>IF(MOD(#REF!,1)=0,CONCATENATE(#REF!,"00"),CONCATENATE(INT(#REF!),"30"))</f>
        <v>#REF!</v>
      </c>
      <c r="G33" s="24" t="e">
        <f>IF(MOD(#REF!,1)=0,CONCATENATE(#REF!,"00"),CONCATENATE(INT(#REF!),"30"))</f>
        <v>#REF!</v>
      </c>
      <c r="H33" s="23" t="e">
        <f>IF(MOD(#REF!,1)=0,CONCATENATE(#REF!,"00"),CONCATENATE(INT(#REF!),"30"))</f>
        <v>#REF!</v>
      </c>
      <c r="I33" s="24" t="e">
        <f>IF(MOD(#REF!,1)=0,CONCATENATE(#REF!,"00"),CONCATENATE(INT(#REF!),"30"))</f>
        <v>#REF!</v>
      </c>
      <c r="J33" s="23" t="e">
        <f>IF(MOD(#REF!,1)=0,CONCATENATE(#REF!,"00"),CONCATENATE(INT(#REF!),"30"))</f>
        <v>#REF!</v>
      </c>
      <c r="K33" s="24" t="e">
        <f>IF(MOD(#REF!,1)=0,CONCATENATE(#REF!,"00"),CONCATENATE(INT(#REF!),"30"))</f>
        <v>#REF!</v>
      </c>
      <c r="L33" s="23" t="e">
        <f>IF(MOD(#REF!,1)=0,CONCATENATE(#REF!,"00"),CONCATENATE(INT(#REF!),"30"))</f>
        <v>#REF!</v>
      </c>
      <c r="M33" s="24" t="e">
        <f>IF(MOD(#REF!,1)=0,CONCATENATE(#REF!,"00"),CONCATENATE(INT(#REF!),"30"))</f>
        <v>#REF!</v>
      </c>
      <c r="N33" s="23" t="e">
        <f>IF(MOD(#REF!,1)=0,CONCATENATE(#REF!,"00"),CONCATENATE(INT(#REF!),"30"))</f>
        <v>#REF!</v>
      </c>
      <c r="O33" s="24" t="e">
        <f>IF(MOD(#REF!,1)=0,CONCATENATE(#REF!,"00"),CONCATENATE(INT(#REF!),"30"))</f>
        <v>#REF!</v>
      </c>
      <c r="P33" s="23" t="e">
        <f>IF(MOD(#REF!,1)=0,CONCATENATE(#REF!,"00"),CONCATENATE(INT(#REF!),"30"))</f>
        <v>#REF!</v>
      </c>
      <c r="Q33" s="24" t="e">
        <f>IF(MOD(#REF!,1)=0,CONCATENATE(#REF!,"00"),CONCATENATE(INT(#REF!),"30"))</f>
        <v>#REF!</v>
      </c>
      <c r="R33" s="23" t="e">
        <f>IF(MOD(#REF!,1)=0,CONCATENATE(#REF!,"00"),CONCATENATE(INT(#REF!),"30"))</f>
        <v>#REF!</v>
      </c>
      <c r="S33" s="24" t="e">
        <f>IF(MOD(#REF!,1)=0,CONCATENATE(#REF!,"00"),CONCATENATE(INT(#REF!),"30"))</f>
        <v>#REF!</v>
      </c>
      <c r="T33" s="23" t="e">
        <f>IF(MOD(#REF!,1)=0,CONCATENATE(#REF!,"00"),CONCATENATE(INT(#REF!),"30"))</f>
        <v>#REF!</v>
      </c>
      <c r="U33" s="24" t="e">
        <f>IF(MOD(#REF!,1)=0,CONCATENATE(#REF!,"00"),CONCATENATE(INT(#REF!),"30"))</f>
        <v>#REF!</v>
      </c>
      <c r="V33" s="23" t="e">
        <f>IF(MOD(#REF!,1)=0,CONCATENATE(#REF!,"00"),CONCATENATE(INT(#REF!),"30"))</f>
        <v>#REF!</v>
      </c>
      <c r="W33" s="24" t="e">
        <f>IF(MOD(#REF!,1)=0,CONCATENATE(#REF!,"00"),CONCATENATE(INT(#REF!),"30"))</f>
        <v>#REF!</v>
      </c>
      <c r="X33" s="23" t="e">
        <f>IF(MOD(#REF!,1)=0,CONCATENATE(#REF!,"00"),CONCATENATE(INT(#REF!),"30"))</f>
        <v>#REF!</v>
      </c>
      <c r="Y33" s="24" t="e">
        <f>IF(MOD(#REF!,1)=0,CONCATENATE(#REF!,"00"),CONCATENATE(INT(#REF!),"30"))</f>
        <v>#REF!</v>
      </c>
      <c r="Z33" s="23" t="e">
        <f>IF(MOD(#REF!,1)=0,CONCATENATE(#REF!,"00"),CONCATENATE(INT(#REF!),"30"))</f>
        <v>#REF!</v>
      </c>
      <c r="AA33" s="24" t="e">
        <f>IF(MOD(#REF!,1)=0,CONCATENATE(#REF!,"00"),CONCATENATE(INT(#REF!),"30"))</f>
        <v>#REF!</v>
      </c>
      <c r="AB33" s="23" t="e">
        <f>IF(MOD(#REF!,1)=0,CONCATENATE(#REF!,"00"),CONCATENATE(INT(#REF!),"30"))</f>
        <v>#REF!</v>
      </c>
      <c r="AC33" s="24" t="e">
        <f>IF(MOD(#REF!,1)=0,CONCATENATE(#REF!,"00"),CONCATENATE(INT(#REF!),"30"))</f>
        <v>#REF!</v>
      </c>
      <c r="AD33" s="23" t="e">
        <f>IF(MOD(#REF!,1)=0,CONCATENATE(#REF!,"00"),CONCATENATE(INT(#REF!),"30"))</f>
        <v>#REF!</v>
      </c>
      <c r="AE33" s="24" t="e">
        <f>IF(MOD(#REF!,1)=0,CONCATENATE(#REF!,"00"),CONCATENATE(INT(#REF!),"30"))</f>
        <v>#REF!</v>
      </c>
      <c r="AF33" s="23" t="e">
        <f>IF(MOD(#REF!,1)=0,CONCATENATE(#REF!,"00"),CONCATENATE(INT(#REF!),"30"))</f>
        <v>#REF!</v>
      </c>
      <c r="AG33" s="24" t="e">
        <f>IF(MOD(#REF!,1)=0,CONCATENATE(#REF!,"00"),CONCATENATE(INT(#REF!),"30"))</f>
        <v>#REF!</v>
      </c>
      <c r="AH33" s="23" t="e">
        <f>IF(MOD(#REF!,1)=0,CONCATENATE(#REF!,"00"),CONCATENATE(INT(#REF!),"30"))</f>
        <v>#REF!</v>
      </c>
      <c r="AI33" s="24" t="e">
        <f>IF(MOD(#REF!,1)=0,CONCATENATE(#REF!,"00"),CONCATENATE(INT(#REF!),"30"))</f>
        <v>#REF!</v>
      </c>
      <c r="AJ33" s="23" t="e">
        <f>IF(MOD(#REF!,1)=0,CONCATENATE(#REF!,"00"),CONCATENATE(INT(#REF!),"30"))</f>
        <v>#REF!</v>
      </c>
      <c r="AK33" s="24" t="e">
        <f>IF(MOD(#REF!,1)=0,CONCATENATE(#REF!,"00"),CONCATENATE(INT(#REF!),"30"))</f>
        <v>#REF!</v>
      </c>
      <c r="AL33" s="23" t="e">
        <f>IF(MOD(#REF!,1)=0,CONCATENATE(#REF!,"00"),CONCATENATE(INT(#REF!),"30"))</f>
        <v>#REF!</v>
      </c>
      <c r="AM33" s="24" t="e">
        <f>IF(MOD(#REF!,1)=0,CONCATENATE(#REF!,"00"),CONCATENATE(INT(#REF!),"30"))</f>
        <v>#REF!</v>
      </c>
      <c r="AN33" s="23" t="e">
        <f>IF(MOD(#REF!,1)=0,CONCATENATE(#REF!,"00"),CONCATENATE(INT(#REF!),"30"))</f>
        <v>#REF!</v>
      </c>
      <c r="AO33" s="24" t="e">
        <f>IF(MOD(#REF!,1)=0,CONCATENATE(#REF!,"00"),CONCATENATE(INT(#REF!),"30"))</f>
        <v>#REF!</v>
      </c>
      <c r="AP33" s="23" t="e">
        <f>IF(MOD(#REF!,1)=0,CONCATENATE(#REF!,"00"),CONCATENATE(INT(#REF!),"30"))</f>
        <v>#REF!</v>
      </c>
      <c r="AQ33" s="24" t="e">
        <f>IF(MOD(#REF!,1)=0,CONCATENATE(#REF!,"00"),CONCATENATE(INT(#REF!),"30"))</f>
        <v>#REF!</v>
      </c>
      <c r="AR33" s="23" t="e">
        <f>IF(MOD(#REF!,1)=0,CONCATENATE(#REF!,"00"),CONCATENATE(INT(#REF!),"30"))</f>
        <v>#REF!</v>
      </c>
      <c r="AS33" s="24" t="e">
        <f>IF(MOD(#REF!,1)=0,CONCATENATE(#REF!,"00"),CONCATENATE(INT(#REF!),"30"))</f>
        <v>#REF!</v>
      </c>
      <c r="AT33" s="23" t="e">
        <f>IF(MOD(#REF!,1)=0,CONCATENATE(#REF!,"00"),CONCATENATE(INT(#REF!),"30"))</f>
        <v>#REF!</v>
      </c>
      <c r="AU33" s="24" t="e">
        <f>IF(MOD(#REF!,1)=0,CONCATENATE(#REF!,"00"),CONCATENATE(INT(#REF!),"30"))</f>
        <v>#REF!</v>
      </c>
      <c r="AV33" s="23" t="e">
        <f>IF(MOD(#REF!,1)=0,CONCATENATE(#REF!,"00"),CONCATENATE(INT(#REF!),"30"))</f>
        <v>#REF!</v>
      </c>
      <c r="AW33" s="24" t="e">
        <f>IF(MOD(#REF!,1)=0,CONCATENATE(#REF!,"00"),CONCATENATE(INT(#REF!),"30"))</f>
        <v>#REF!</v>
      </c>
      <c r="AX33" s="23" t="e">
        <f>IF(MOD(#REF!,1)=0,CONCATENATE(#REF!,"00"),CONCATENATE(INT(#REF!),"30"))</f>
        <v>#REF!</v>
      </c>
      <c r="AY33" s="24" t="e">
        <f>IF(MOD(#REF!,1)=0,CONCATENATE(#REF!,"00"),CONCATENATE(INT(#REF!),"30"))</f>
        <v>#REF!</v>
      </c>
      <c r="AZ33" s="23" t="e">
        <f>IF(MOD(#REF!,1)=0,CONCATENATE(#REF!,"00"),CONCATENATE(INT(#REF!),"30"))</f>
        <v>#REF!</v>
      </c>
      <c r="BA33" s="24" t="e">
        <f>IF(MOD(#REF!,1)=0,CONCATENATE(#REF!,"00"),CONCATENATE(INT(#REF!),"30"))</f>
        <v>#REF!</v>
      </c>
      <c r="BB33" s="23" t="e">
        <f>IF(MOD(#REF!,1)=0,CONCATENATE(#REF!,"00"),CONCATENATE(INT(#REF!),"30"))</f>
        <v>#REF!</v>
      </c>
      <c r="BC33" s="24" t="e">
        <f>IF(MOD(#REF!,1)=0,CONCATENATE(#REF!,"00"),CONCATENATE(INT(#REF!),"30"))</f>
        <v>#REF!</v>
      </c>
      <c r="BD33" s="23" t="e">
        <f>IF(MOD(#REF!,1)=0,CONCATENATE(#REF!,"00"),CONCATENATE(INT(#REF!),"30"))</f>
        <v>#REF!</v>
      </c>
      <c r="BE33" s="24" t="e">
        <f>IF(MOD(#REF!,1)=0,CONCATENATE(#REF!,"00"),CONCATENATE(INT(#REF!),"30"))</f>
        <v>#REF!</v>
      </c>
      <c r="BF33" s="23" t="e">
        <f>IF(MOD(#REF!,1)=0,CONCATENATE(#REF!,"00"),CONCATENATE(INT(#REF!),"30"))</f>
        <v>#REF!</v>
      </c>
      <c r="BG33" s="24" t="e">
        <f>IF(MOD(#REF!,1)=0,CONCATENATE(#REF!,"00"),CONCATENATE(INT(#REF!),"30"))</f>
        <v>#REF!</v>
      </c>
      <c r="BH33" s="23" t="e">
        <f>IF(MOD(#REF!,1)=0,CONCATENATE(#REF!,"00"),CONCATENATE(INT(#REF!),"30"))</f>
        <v>#REF!</v>
      </c>
      <c r="BI33" s="24" t="e">
        <f>IF(MOD(#REF!,1)=0,CONCATENATE(#REF!,"00"),CONCATENATE(INT(#REF!),"30"))</f>
        <v>#REF!</v>
      </c>
      <c r="BJ33" s="23" t="e">
        <f>IF(MOD(#REF!,1)=0,CONCATENATE(#REF!,"00"),CONCATENATE(INT(#REF!),"30"))</f>
        <v>#REF!</v>
      </c>
      <c r="BK33" s="24" t="e">
        <f>IF(MOD(#REF!,1)=0,CONCATENATE(#REF!,"00"),CONCATENATE(INT(#REF!),"30"))</f>
        <v>#REF!</v>
      </c>
      <c r="BL33" s="23" t="e">
        <f>IF(MOD(#REF!,1)=0,CONCATENATE(#REF!,"00"),CONCATENATE(INT(#REF!),"30"))</f>
        <v>#REF!</v>
      </c>
      <c r="BM33" s="24" t="e">
        <f>IF(MOD(#REF!,1)=0,CONCATENATE(#REF!,"00"),CONCATENATE(INT(#REF!),"30"))</f>
        <v>#REF!</v>
      </c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81" ht="15" thickBot="1">
      <c r="A34" s="84"/>
      <c r="B34" s="86"/>
      <c r="C34" s="94"/>
      <c r="D34" s="25" t="e">
        <f>IF(MOD(#REF!,1)=0,CONCATENATE(#REF!,"00"),CONCATENATE(INT(#REF!),"30"))</f>
        <v>#REF!</v>
      </c>
      <c r="E34" s="26" t="e">
        <f>IF(MOD(#REF!,1)=0,CONCATENATE(#REF!,"00"),CONCATENATE(INT(#REF!),"30"))</f>
        <v>#REF!</v>
      </c>
      <c r="F34" s="25" t="e">
        <f>IF(MOD(#REF!,1)=0,CONCATENATE(#REF!,"00"),CONCATENATE(INT(#REF!),"30"))</f>
        <v>#REF!</v>
      </c>
      <c r="G34" s="26" t="e">
        <f>IF(MOD(#REF!,1)=0,CONCATENATE(#REF!,"00"),CONCATENATE(INT(#REF!),"30"))</f>
        <v>#REF!</v>
      </c>
      <c r="H34" s="25" t="e">
        <f>IF(MOD(#REF!,1)=0,CONCATENATE(#REF!,"00"),CONCATENATE(INT(#REF!),"30"))</f>
        <v>#REF!</v>
      </c>
      <c r="I34" s="26" t="e">
        <f>IF(MOD(#REF!,1)=0,CONCATENATE(#REF!,"00"),CONCATENATE(INT(#REF!),"30"))</f>
        <v>#REF!</v>
      </c>
      <c r="J34" s="25" t="e">
        <f>IF(MOD(#REF!,1)=0,CONCATENATE(#REF!,"00"),CONCATENATE(INT(#REF!),"30"))</f>
        <v>#REF!</v>
      </c>
      <c r="K34" s="26" t="e">
        <f>IF(MOD(#REF!,1)=0,CONCATENATE(#REF!,"00"),CONCATENATE(INT(#REF!),"30"))</f>
        <v>#REF!</v>
      </c>
      <c r="L34" s="25" t="e">
        <f>IF(MOD(#REF!,1)=0,CONCATENATE(#REF!,"00"),CONCATENATE(INT(#REF!),"30"))</f>
        <v>#REF!</v>
      </c>
      <c r="M34" s="26" t="e">
        <f>IF(MOD(#REF!,1)=0,CONCATENATE(#REF!,"00"),CONCATENATE(INT(#REF!),"30"))</f>
        <v>#REF!</v>
      </c>
      <c r="N34" s="25" t="e">
        <f>IF(MOD(#REF!,1)=0,CONCATENATE(#REF!,"00"),CONCATENATE(INT(#REF!),"30"))</f>
        <v>#REF!</v>
      </c>
      <c r="O34" s="26" t="e">
        <f>IF(MOD(#REF!,1)=0,CONCATENATE(#REF!,"00"),CONCATENATE(INT(#REF!),"30"))</f>
        <v>#REF!</v>
      </c>
      <c r="P34" s="25" t="e">
        <f>IF(MOD(#REF!,1)=0,CONCATENATE(#REF!,"00"),CONCATENATE(INT(#REF!),"30"))</f>
        <v>#REF!</v>
      </c>
      <c r="Q34" s="26" t="e">
        <f>IF(MOD(#REF!,1)=0,CONCATENATE(#REF!,"00"),CONCATENATE(INT(#REF!),"30"))</f>
        <v>#REF!</v>
      </c>
      <c r="R34" s="25" t="e">
        <f>IF(MOD(#REF!,1)=0,CONCATENATE(#REF!,"00"),CONCATENATE(INT(#REF!),"30"))</f>
        <v>#REF!</v>
      </c>
      <c r="S34" s="26" t="e">
        <f>IF(MOD(#REF!,1)=0,CONCATENATE(#REF!,"00"),CONCATENATE(INT(#REF!),"30"))</f>
        <v>#REF!</v>
      </c>
      <c r="T34" s="25" t="e">
        <f>IF(MOD(#REF!,1)=0,CONCATENATE(#REF!,"00"),CONCATENATE(INT(#REF!),"30"))</f>
        <v>#REF!</v>
      </c>
      <c r="U34" s="26" t="e">
        <f>IF(MOD(#REF!,1)=0,CONCATENATE(#REF!,"00"),CONCATENATE(INT(#REF!),"30"))</f>
        <v>#REF!</v>
      </c>
      <c r="V34" s="25" t="e">
        <f>IF(MOD(#REF!,1)=0,CONCATENATE(#REF!,"00"),CONCATENATE(INT(#REF!),"30"))</f>
        <v>#REF!</v>
      </c>
      <c r="W34" s="26" t="e">
        <f>IF(MOD(#REF!,1)=0,CONCATENATE(#REF!,"00"),CONCATENATE(INT(#REF!),"30"))</f>
        <v>#REF!</v>
      </c>
      <c r="X34" s="25" t="e">
        <f>IF(MOD(#REF!,1)=0,CONCATENATE(#REF!,"00"),CONCATENATE(INT(#REF!),"30"))</f>
        <v>#REF!</v>
      </c>
      <c r="Y34" s="26" t="e">
        <f>IF(MOD(#REF!,1)=0,CONCATENATE(#REF!,"00"),CONCATENATE(INT(#REF!),"30"))</f>
        <v>#REF!</v>
      </c>
      <c r="Z34" s="25" t="e">
        <f>IF(MOD(#REF!,1)=0,CONCATENATE(#REF!,"00"),CONCATENATE(INT(#REF!),"30"))</f>
        <v>#REF!</v>
      </c>
      <c r="AA34" s="26" t="e">
        <f>IF(MOD(#REF!,1)=0,CONCATENATE(#REF!,"00"),CONCATENATE(INT(#REF!),"30"))</f>
        <v>#REF!</v>
      </c>
      <c r="AB34" s="25" t="e">
        <f>IF(MOD(#REF!,1)=0,CONCATENATE(#REF!,"00"),CONCATENATE(INT(#REF!),"30"))</f>
        <v>#REF!</v>
      </c>
      <c r="AC34" s="26" t="e">
        <f>IF(MOD(#REF!,1)=0,CONCATENATE(#REF!,"00"),CONCATENATE(INT(#REF!),"30"))</f>
        <v>#REF!</v>
      </c>
      <c r="AD34" s="25" t="e">
        <f>IF(MOD(#REF!,1)=0,CONCATENATE(#REF!,"00"),CONCATENATE(INT(#REF!),"30"))</f>
        <v>#REF!</v>
      </c>
      <c r="AE34" s="26" t="e">
        <f>IF(MOD(#REF!,1)=0,CONCATENATE(#REF!,"00"),CONCATENATE(INT(#REF!),"30"))</f>
        <v>#REF!</v>
      </c>
      <c r="AF34" s="25" t="e">
        <f>IF(MOD(#REF!,1)=0,CONCATENATE(#REF!,"00"),CONCATENATE(INT(#REF!),"30"))</f>
        <v>#REF!</v>
      </c>
      <c r="AG34" s="26" t="e">
        <f>IF(MOD(#REF!,1)=0,CONCATENATE(#REF!,"00"),CONCATENATE(INT(#REF!),"30"))</f>
        <v>#REF!</v>
      </c>
      <c r="AH34" s="25" t="e">
        <f>IF(MOD(#REF!,1)=0,CONCATENATE(#REF!,"00"),CONCATENATE(INT(#REF!),"30"))</f>
        <v>#REF!</v>
      </c>
      <c r="AI34" s="26" t="e">
        <f>IF(MOD(#REF!,1)=0,CONCATENATE(#REF!,"00"),CONCATENATE(INT(#REF!),"30"))</f>
        <v>#REF!</v>
      </c>
      <c r="AJ34" s="25" t="e">
        <f>IF(MOD(#REF!,1)=0,CONCATENATE(#REF!,"00"),CONCATENATE(INT(#REF!),"30"))</f>
        <v>#REF!</v>
      </c>
      <c r="AK34" s="26" t="e">
        <f>IF(MOD(#REF!,1)=0,CONCATENATE(#REF!,"00"),CONCATENATE(INT(#REF!),"30"))</f>
        <v>#REF!</v>
      </c>
      <c r="AL34" s="25" t="e">
        <f>IF(MOD(#REF!,1)=0,CONCATENATE(#REF!,"00"),CONCATENATE(INT(#REF!),"30"))</f>
        <v>#REF!</v>
      </c>
      <c r="AM34" s="26" t="e">
        <f>IF(MOD(#REF!,1)=0,CONCATENATE(#REF!,"00"),CONCATENATE(INT(#REF!),"30"))</f>
        <v>#REF!</v>
      </c>
      <c r="AN34" s="25" t="e">
        <f>IF(MOD(#REF!,1)=0,CONCATENATE(#REF!,"00"),CONCATENATE(INT(#REF!),"30"))</f>
        <v>#REF!</v>
      </c>
      <c r="AO34" s="26" t="e">
        <f>IF(MOD(#REF!,1)=0,CONCATENATE(#REF!,"00"),CONCATENATE(INT(#REF!),"30"))</f>
        <v>#REF!</v>
      </c>
      <c r="AP34" s="25" t="e">
        <f>IF(MOD(#REF!,1)=0,CONCATENATE(#REF!,"00"),CONCATENATE(INT(#REF!),"30"))</f>
        <v>#REF!</v>
      </c>
      <c r="AQ34" s="26" t="e">
        <f>IF(MOD(#REF!,1)=0,CONCATENATE(#REF!,"00"),CONCATENATE(INT(#REF!),"30"))</f>
        <v>#REF!</v>
      </c>
      <c r="AR34" s="25" t="e">
        <f>IF(MOD(#REF!,1)=0,CONCATENATE(#REF!,"00"),CONCATENATE(INT(#REF!),"30"))</f>
        <v>#REF!</v>
      </c>
      <c r="AS34" s="26" t="e">
        <f>IF(MOD(#REF!,1)=0,CONCATENATE(#REF!,"00"),CONCATENATE(INT(#REF!),"30"))</f>
        <v>#REF!</v>
      </c>
      <c r="AT34" s="25" t="e">
        <f>IF(MOD(#REF!,1)=0,CONCATENATE(#REF!,"00"),CONCATENATE(INT(#REF!),"30"))</f>
        <v>#REF!</v>
      </c>
      <c r="AU34" s="26" t="e">
        <f>IF(MOD(#REF!,1)=0,CONCATENATE(#REF!,"00"),CONCATENATE(INT(#REF!),"30"))</f>
        <v>#REF!</v>
      </c>
      <c r="AV34" s="25" t="e">
        <f>IF(MOD(#REF!,1)=0,CONCATENATE(#REF!,"00"),CONCATENATE(INT(#REF!),"30"))</f>
        <v>#REF!</v>
      </c>
      <c r="AW34" s="26" t="e">
        <f>IF(MOD(#REF!,1)=0,CONCATENATE(#REF!,"00"),CONCATENATE(INT(#REF!),"30"))</f>
        <v>#REF!</v>
      </c>
      <c r="AX34" s="25" t="e">
        <f>IF(MOD(#REF!,1)=0,CONCATENATE(#REF!,"00"),CONCATENATE(INT(#REF!),"30"))</f>
        <v>#REF!</v>
      </c>
      <c r="AY34" s="26" t="e">
        <f>IF(MOD(#REF!,1)=0,CONCATENATE(#REF!,"00"),CONCATENATE(INT(#REF!),"30"))</f>
        <v>#REF!</v>
      </c>
      <c r="AZ34" s="25" t="e">
        <f>IF(MOD(#REF!,1)=0,CONCATENATE(#REF!,"00"),CONCATENATE(INT(#REF!),"30"))</f>
        <v>#REF!</v>
      </c>
      <c r="BA34" s="26" t="e">
        <f>IF(MOD(#REF!,1)=0,CONCATENATE(#REF!,"00"),CONCATENATE(INT(#REF!),"30"))</f>
        <v>#REF!</v>
      </c>
      <c r="BB34" s="25" t="e">
        <f>IF(MOD(#REF!,1)=0,CONCATENATE(#REF!,"00"),CONCATENATE(INT(#REF!),"30"))</f>
        <v>#REF!</v>
      </c>
      <c r="BC34" s="26" t="e">
        <f>IF(MOD(#REF!,1)=0,CONCATENATE(#REF!,"00"),CONCATENATE(INT(#REF!),"30"))</f>
        <v>#REF!</v>
      </c>
      <c r="BD34" s="25" t="e">
        <f>IF(MOD(#REF!,1)=0,CONCATENATE(#REF!,"00"),CONCATENATE(INT(#REF!),"30"))</f>
        <v>#REF!</v>
      </c>
      <c r="BE34" s="26" t="e">
        <f>IF(MOD(#REF!,1)=0,CONCATENATE(#REF!,"00"),CONCATENATE(INT(#REF!),"30"))</f>
        <v>#REF!</v>
      </c>
      <c r="BF34" s="25" t="e">
        <f>IF(MOD(#REF!,1)=0,CONCATENATE(#REF!,"00"),CONCATENATE(INT(#REF!),"30"))</f>
        <v>#REF!</v>
      </c>
      <c r="BG34" s="26" t="e">
        <f>IF(MOD(#REF!,1)=0,CONCATENATE(#REF!,"00"),CONCATENATE(INT(#REF!),"30"))</f>
        <v>#REF!</v>
      </c>
      <c r="BH34" s="25" t="e">
        <f>IF(MOD(#REF!,1)=0,CONCATENATE(#REF!,"00"),CONCATENATE(INT(#REF!),"30"))</f>
        <v>#REF!</v>
      </c>
      <c r="BI34" s="26" t="e">
        <f>IF(MOD(#REF!,1)=0,CONCATENATE(#REF!,"00"),CONCATENATE(INT(#REF!),"30"))</f>
        <v>#REF!</v>
      </c>
      <c r="BJ34" s="25" t="e">
        <f>IF(MOD(#REF!,1)=0,CONCATENATE(#REF!,"00"),CONCATENATE(INT(#REF!),"30"))</f>
        <v>#REF!</v>
      </c>
      <c r="BK34" s="26" t="e">
        <f>IF(MOD(#REF!,1)=0,CONCATENATE(#REF!,"00"),CONCATENATE(INT(#REF!),"30"))</f>
        <v>#REF!</v>
      </c>
      <c r="BL34" s="25" t="e">
        <f>IF(MOD(#REF!,1)=0,CONCATENATE(#REF!,"00"),CONCATENATE(INT(#REF!),"30"))</f>
        <v>#REF!</v>
      </c>
      <c r="BM34" s="26" t="e">
        <f>IF(MOD(#REF!,1)=0,CONCATENATE(#REF!,"00"),CONCATENATE(INT(#REF!),"30"))</f>
        <v>#REF!</v>
      </c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81" ht="40" customHeight="1" thickBot="1">
      <c r="A35" s="47"/>
      <c r="B35" s="84"/>
      <c r="C35" s="95"/>
      <c r="D35" s="104" t="e" cm="1">
        <f t="array" ref="D35">_xlfn.IFS(AND(D33="00",D34="00"),";H",AND(D33&lt;&gt;"00",D34&lt;&gt;"00"),CONCATENATE(D33,"-",E34,"(",E33,"-",D34,")"),AND(D33="00",D34&lt;&gt;"00"),CONCATENATE(D34,"-",E34),AND(D33&lt;&gt;"00",D34="00"),CONCATENATE(D33,"-",E33))</f>
        <v>#REF!</v>
      </c>
      <c r="E35" s="105"/>
      <c r="F35" s="104" t="e" cm="1">
        <f t="array" ref="F35">_xlfn.IFS(AND(F33="00",F34="00"),";H",AND(F33&lt;&gt;"00",F34&lt;&gt;"00"),CONCATENATE(F33,"-",G34,"(",G33,"-",F34,")"),AND(F33="00",F34&lt;&gt;"00"),CONCATENATE(F34,"-",G34),AND(F33&lt;&gt;"00",F34="00"),CONCATENATE(F33,"-",G33))</f>
        <v>#REF!</v>
      </c>
      <c r="G35" s="105"/>
      <c r="H35" s="104" t="e" cm="1">
        <f t="array" ref="H35">_xlfn.IFS(AND(H33="00",H34="00"),";H",AND(H33&lt;&gt;"00",H34&lt;&gt;"00"),CONCATENATE(H33,"-",I34,"(",I33,"-",H34,")"),AND(H33="00",H34&lt;&gt;"00"),CONCATENATE(H34,"-",I34),AND(H33&lt;&gt;"00",H34="00"),CONCATENATE(H33,"-",I33))</f>
        <v>#REF!</v>
      </c>
      <c r="I35" s="105"/>
      <c r="J35" s="104" t="e" cm="1">
        <f t="array" ref="J35">_xlfn.IFS(AND(J33="00",J34="00"),";H",AND(J33&lt;&gt;"00",J34&lt;&gt;"00"),CONCATENATE(J33,"-",K34,"(",K33,"-",J34,")"),AND(J33="00",J34&lt;&gt;"00"),CONCATENATE(J34,"-",K34),AND(J33&lt;&gt;"00",J34="00"),CONCATENATE(J33,"-",K33))</f>
        <v>#REF!</v>
      </c>
      <c r="K35" s="105"/>
      <c r="L35" s="104" t="e" cm="1">
        <f t="array" ref="L35">_xlfn.IFS(AND(L33="00",L34="00"),";H",AND(L33&lt;&gt;"00",L34&lt;&gt;"00"),CONCATENATE(L33,"-",M34,"(",M33,"-",L34,")"),AND(L33="00",L34&lt;&gt;"00"),CONCATENATE(L34,"-",M34),AND(L33&lt;&gt;"00",L34="00"),CONCATENATE(L33,"-",M33))</f>
        <v>#REF!</v>
      </c>
      <c r="M35" s="105"/>
      <c r="N35" s="104" t="e" cm="1">
        <f t="array" ref="N35">_xlfn.IFS(AND(N33="00",N34="00"),";H",AND(N33&lt;&gt;"00",N34&lt;&gt;"00"),CONCATENATE(N33,"-",O34,"(",O33,"-",N34,")"),AND(N33="00",N34&lt;&gt;"00"),CONCATENATE(N34,"-",O34),AND(N33&lt;&gt;"00",N34="00"),CONCATENATE(N33,"-",O33))</f>
        <v>#REF!</v>
      </c>
      <c r="O35" s="105"/>
      <c r="P35" s="104" t="e" cm="1">
        <f t="array" ref="P35">_xlfn.IFS(AND(P33="00",P34="00"),";H",AND(P33&lt;&gt;"00",P34&lt;&gt;"00"),CONCATENATE(P33,"-",Q34,"(",Q33,"-",P34,")"),AND(P33="00",P34&lt;&gt;"00"),CONCATENATE(P34,"-",Q34),AND(P33&lt;&gt;"00",P34="00"),CONCATENATE(P33,"-",Q33))</f>
        <v>#REF!</v>
      </c>
      <c r="Q35" s="105"/>
      <c r="R35" s="104" t="e" cm="1">
        <f t="array" ref="R35">_xlfn.IFS(AND(R33="00",R34="00"),";H",AND(R33&lt;&gt;"00",R34&lt;&gt;"00"),CONCATENATE(R33,"-",S34,"(",S33,"-",R34,")"),AND(R33="00",R34&lt;&gt;"00"),CONCATENATE(R34,"-",S34),AND(R33&lt;&gt;"00",R34="00"),CONCATENATE(R33,"-",S33))</f>
        <v>#REF!</v>
      </c>
      <c r="S35" s="105"/>
      <c r="T35" s="104" t="e" cm="1">
        <f t="array" ref="T35">_xlfn.IFS(AND(T33="00",T34="00"),";H",AND(T33&lt;&gt;"00",T34&lt;&gt;"00"),CONCATENATE(T33,"-",U34,"(",U33,"-",T34,")"),AND(T33="00",T34&lt;&gt;"00"),CONCATENATE(T34,"-",U34),AND(T33&lt;&gt;"00",T34="00"),CONCATENATE(T33,"-",U33))</f>
        <v>#REF!</v>
      </c>
      <c r="U35" s="105"/>
      <c r="V35" s="104" t="e" cm="1">
        <f t="array" ref="V35">_xlfn.IFS(AND(V33="00",V34="00"),";H",AND(V33&lt;&gt;"00",V34&lt;&gt;"00"),CONCATENATE(V33,"-",W34,"(",W33,"-",V34,")"),AND(V33="00",V34&lt;&gt;"00"),CONCATENATE(V34,"-",W34),AND(V33&lt;&gt;"00",V34="00"),CONCATENATE(V33,"-",W33))</f>
        <v>#REF!</v>
      </c>
      <c r="W35" s="105"/>
      <c r="X35" s="104" t="e" cm="1">
        <f t="array" ref="X35">_xlfn.IFS(AND(X33="00",X34="00"),";H",AND(X33&lt;&gt;"00",X34&lt;&gt;"00"),CONCATENATE(X33,"-",Y34,"(",Y33,"-",X34,")"),AND(X33="00",X34&lt;&gt;"00"),CONCATENATE(X34,"-",Y34),AND(X33&lt;&gt;"00",X34="00"),CONCATENATE(X33,"-",Y33))</f>
        <v>#REF!</v>
      </c>
      <c r="Y35" s="105"/>
      <c r="Z35" s="104" t="e" cm="1">
        <f t="array" ref="Z35">_xlfn.IFS(AND(Z33="00",Z34="00"),";H",AND(Z33&lt;&gt;"00",Z34&lt;&gt;"00"),CONCATENATE(Z33,"-",AA34,"(",AA33,"-",Z34,")"),AND(Z33="00",Z34&lt;&gt;"00"),CONCATENATE(Z34,"-",AA34),AND(Z33&lt;&gt;"00",Z34="00"),CONCATENATE(Z33,"-",AA33))</f>
        <v>#REF!</v>
      </c>
      <c r="AA35" s="105"/>
      <c r="AB35" s="104" t="e" cm="1">
        <f t="array" ref="AB35">_xlfn.IFS(AND(AB33="00",AB34="00"),";H",AND(AB33&lt;&gt;"00",AB34&lt;&gt;"00"),CONCATENATE(AB33,"-",AC34,"(",AC33,"-",AB34,")"),AND(AB33="00",AB34&lt;&gt;"00"),CONCATENATE(AB34,"-",AC34),AND(AB33&lt;&gt;"00",AB34="00"),CONCATENATE(AB33,"-",AC33))</f>
        <v>#REF!</v>
      </c>
      <c r="AC35" s="105"/>
      <c r="AD35" s="104" t="e" cm="1">
        <f t="array" ref="AD35">_xlfn.IFS(AND(AD33="00",AD34="00"),";H",AND(AD33&lt;&gt;"00",AD34&lt;&gt;"00"),CONCATENATE(AD33,"-",AE34,"(",AE33,"-",AD34,")"),AND(AD33="00",AD34&lt;&gt;"00"),CONCATENATE(AD34,"-",AE34),AND(AD33&lt;&gt;"00",AD34="00"),CONCATENATE(AD33,"-",AE33))</f>
        <v>#REF!</v>
      </c>
      <c r="AE35" s="105"/>
      <c r="AF35" s="104" t="e" cm="1">
        <f t="array" ref="AF35">_xlfn.IFS(AND(AF33="00",AF34="00"),";H",AND(AF33&lt;&gt;"00",AF34&lt;&gt;"00"),CONCATENATE(AF33,"-",AG34,"(",AG33,"-",AF34,")"),AND(AF33="00",AF34&lt;&gt;"00"),CONCATENATE(AF34,"-",AG34),AND(AF33&lt;&gt;"00",AF34="00"),CONCATENATE(AF33,"-",AG33))</f>
        <v>#REF!</v>
      </c>
      <c r="AG35" s="105"/>
      <c r="AH35" s="104" t="e" cm="1">
        <f t="array" ref="AH35">_xlfn.IFS(AND(AH33="00",AH34="00"),";H",AND(AH33&lt;&gt;"00",AH34&lt;&gt;"00"),CONCATENATE(AH33,"-",AI34,"(",AI33,"-",AH34,")"),AND(AH33="00",AH34&lt;&gt;"00"),CONCATENATE(AH34,"-",AI34),AND(AH33&lt;&gt;"00",AH34="00"),CONCATENATE(AH33,"-",AI33))</f>
        <v>#REF!</v>
      </c>
      <c r="AI35" s="105"/>
      <c r="AJ35" s="104" t="e" cm="1">
        <f t="array" ref="AJ35">_xlfn.IFS(AND(AJ33="00",AJ34="00"),";H",AND(AJ33&lt;&gt;"00",AJ34&lt;&gt;"00"),CONCATENATE(AJ33,"-",AK34,"(",AK33,"-",AJ34,")"),AND(AJ33="00",AJ34&lt;&gt;"00"),CONCATENATE(AJ34,"-",AK34),AND(AJ33&lt;&gt;"00",AJ34="00"),CONCATENATE(AJ33,"-",AK33))</f>
        <v>#REF!</v>
      </c>
      <c r="AK35" s="105"/>
      <c r="AL35" s="104" t="e" cm="1">
        <f t="array" ref="AL35">_xlfn.IFS(AND(AL33="00",AL34="00"),";H",AND(AL33&lt;&gt;"00",AL34&lt;&gt;"00"),CONCATENATE(AL33,"-",AM34,"(",AM33,"-",AL34,")"),AND(AL33="00",AL34&lt;&gt;"00"),CONCATENATE(AL34,"-",AM34),AND(AL33&lt;&gt;"00",AL34="00"),CONCATENATE(AL33,"-",AM33))</f>
        <v>#REF!</v>
      </c>
      <c r="AM35" s="105"/>
      <c r="AN35" s="104" t="e" cm="1">
        <f t="array" ref="AN35">_xlfn.IFS(AND(AN33="00",AN34="00"),";H",AND(AN33&lt;&gt;"00",AN34&lt;&gt;"00"),CONCATENATE(AN33,"-",AO34,"(",AO33,"-",AN34,")"),AND(AN33="00",AN34&lt;&gt;"00"),CONCATENATE(AN34,"-",AO34),AND(AN33&lt;&gt;"00",AN34="00"),CONCATENATE(AN33,"-",AO33))</f>
        <v>#REF!</v>
      </c>
      <c r="AO35" s="105"/>
      <c r="AP35" s="104" t="e" cm="1">
        <f t="array" ref="AP35">_xlfn.IFS(AND(AP33="00",AP34="00"),";H",AND(AP33&lt;&gt;"00",AP34&lt;&gt;"00"),CONCATENATE(AP33,"-",AQ34,"(",AQ33,"-",AP34,")"),AND(AP33="00",AP34&lt;&gt;"00"),CONCATENATE(AP34,"-",AQ34),AND(AP33&lt;&gt;"00",AP34="00"),CONCATENATE(AP33,"-",AQ33))</f>
        <v>#REF!</v>
      </c>
      <c r="AQ35" s="105"/>
      <c r="AR35" s="104" t="e" cm="1">
        <f t="array" ref="AR35">_xlfn.IFS(AND(AR33="00",AR34="00"),";H",AND(AR33&lt;&gt;"00",AR34&lt;&gt;"00"),CONCATENATE(AR33,"-",AS34,"(",AS33,"-",AR34,")"),AND(AR33="00",AR34&lt;&gt;"00"),CONCATENATE(AR34,"-",AS34),AND(AR33&lt;&gt;"00",AR34="00"),CONCATENATE(AR33,"-",AS33))</f>
        <v>#REF!</v>
      </c>
      <c r="AS35" s="105"/>
      <c r="AT35" s="104" t="e" cm="1">
        <f t="array" ref="AT35">_xlfn.IFS(AND(AT33="00",AT34="00"),";H",AND(AT33&lt;&gt;"00",AT34&lt;&gt;"00"),CONCATENATE(AT33,"-",AU34,"(",AU33,"-",AT34,")"),AND(AT33="00",AT34&lt;&gt;"00"),CONCATENATE(AT34,"-",AU34),AND(AT33&lt;&gt;"00",AT34="00"),CONCATENATE(AT33,"-",AU33))</f>
        <v>#REF!</v>
      </c>
      <c r="AU35" s="105"/>
      <c r="AV35" s="104" t="e" cm="1">
        <f t="array" ref="AV35">_xlfn.IFS(AND(AV33="00",AV34="00"),";H",AND(AV33&lt;&gt;"00",AV34&lt;&gt;"00"),CONCATENATE(AV33,"-",AW34,"(",AW33,"-",AV34,")"),AND(AV33="00",AV34&lt;&gt;"00"),CONCATENATE(AV34,"-",AW34),AND(AV33&lt;&gt;"00",AV34="00"),CONCATENATE(AV33,"-",AW33))</f>
        <v>#REF!</v>
      </c>
      <c r="AW35" s="105"/>
      <c r="AX35" s="104" t="e" cm="1">
        <f t="array" ref="AX35">_xlfn.IFS(AND(AX33="00",AX34="00"),";H",AND(AX33&lt;&gt;"00",AX34&lt;&gt;"00"),CONCATENATE(AX33,"-",AY34,"(",AY33,"-",AX34,")"),AND(AX33="00",AX34&lt;&gt;"00"),CONCATENATE(AX34,"-",AY34),AND(AX33&lt;&gt;"00",AX34="00"),CONCATENATE(AX33,"-",AY33))</f>
        <v>#REF!</v>
      </c>
      <c r="AY35" s="105"/>
      <c r="AZ35" s="104" t="e" cm="1">
        <f t="array" ref="AZ35">_xlfn.IFS(AND(AZ33="00",AZ34="00"),";H",AND(AZ33&lt;&gt;"00",AZ34&lt;&gt;"00"),CONCATENATE(AZ33,"-",BA34,"(",BA33,"-",AZ34,")"),AND(AZ33="00",AZ34&lt;&gt;"00"),CONCATENATE(AZ34,"-",BA34),AND(AZ33&lt;&gt;"00",AZ34="00"),CONCATENATE(AZ33,"-",BA33))</f>
        <v>#REF!</v>
      </c>
      <c r="BA35" s="105"/>
      <c r="BB35" s="104" t="e" cm="1">
        <f t="array" ref="BB35">_xlfn.IFS(AND(BB33="00",BB34="00"),";H",AND(BB33&lt;&gt;"00",BB34&lt;&gt;"00"),CONCATENATE(BB33,"-",BC34,"(",BC33,"-",BB34,")"),AND(BB33="00",BB34&lt;&gt;"00"),CONCATENATE(BB34,"-",BC34),AND(BB33&lt;&gt;"00",BB34="00"),CONCATENATE(BB33,"-",BC33))</f>
        <v>#REF!</v>
      </c>
      <c r="BC35" s="105"/>
      <c r="BD35" s="104" t="e" cm="1">
        <f t="array" ref="BD35">_xlfn.IFS(AND(BD33="00",BD34="00"),";H",AND(BD33&lt;&gt;"00",BD34&lt;&gt;"00"),CONCATENATE(BD33,"-",BE34,"(",BE33,"-",BD34,")"),AND(BD33="00",BD34&lt;&gt;"00"),CONCATENATE(BD34,"-",BE34),AND(BD33&lt;&gt;"00",BD34="00"),CONCATENATE(BD33,"-",BE33))</f>
        <v>#REF!</v>
      </c>
      <c r="BE35" s="105"/>
      <c r="BF35" s="104" t="e" cm="1">
        <f t="array" ref="BF35">_xlfn.IFS(AND(BF33="00",BF34="00"),";H",AND(BF33&lt;&gt;"00",BF34&lt;&gt;"00"),CONCATENATE(BF33,"-",BG34,"(",BG33,"-",BF34,")"),AND(BF33="00",BF34&lt;&gt;"00"),CONCATENATE(BF34,"-",BG34),AND(BF33&lt;&gt;"00",BF34="00"),CONCATENATE(BF33,"-",BG33))</f>
        <v>#REF!</v>
      </c>
      <c r="BG35" s="105"/>
      <c r="BH35" s="104" t="e" cm="1">
        <f t="array" ref="BH35">_xlfn.IFS(AND(BH33="00",BH34="00"),";H",AND(BH33&lt;&gt;"00",BH34&lt;&gt;"00"),CONCATENATE(BH33,"-",BI34,"(",BI33,"-",BH34,")"),AND(BH33="00",BH34&lt;&gt;"00"),CONCATENATE(BH34,"-",BI34),AND(BH33&lt;&gt;"00",BH34="00"),CONCATENATE(BH33,"-",BI33))</f>
        <v>#REF!</v>
      </c>
      <c r="BI35" s="105"/>
      <c r="BJ35" s="104" t="e" cm="1">
        <f t="array" ref="BJ35">_xlfn.IFS(AND(BJ33="00",BJ34="00"),";H",AND(BJ33&lt;&gt;"00",BJ34&lt;&gt;"00"),CONCATENATE(BJ33,"-",BK34,"(",BK33,"-",BJ34,")"),AND(BJ33="00",BJ34&lt;&gt;"00"),CONCATENATE(BJ34,"-",BK34),AND(BJ33&lt;&gt;"00",BJ34="00"),CONCATENATE(BJ33,"-",BK33))</f>
        <v>#REF!</v>
      </c>
      <c r="BK35" s="105"/>
      <c r="BL35" s="104" t="e" cm="1">
        <f t="array" ref="BL35">_xlfn.IFS(AND(BL33="00",BL34="00"),";H",AND(BL33&lt;&gt;"00",BL34&lt;&gt;"00"),CONCATENATE(BL33,"-",BM34,"(",BM33,"-",BL34,")"),AND(BL33="00",BL34&lt;&gt;"00"),CONCATENATE(BL34,"-",BM34),AND(BL33&lt;&gt;"00",BL34="00"),CONCATENATE(BL33,"-",BM33))</f>
        <v>#REF!</v>
      </c>
      <c r="BM35" s="105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81" ht="15" thickBot="1">
      <c r="A36" s="83"/>
      <c r="B36" s="145" t="e">
        <f>#REF!</f>
        <v>#REF!</v>
      </c>
      <c r="C36" s="93"/>
      <c r="D36" s="23" t="e">
        <f>IF(MOD(#REF!,1)=0,CONCATENATE(#REF!,"00"),CONCATENATE(INT(#REF!),"30"))</f>
        <v>#REF!</v>
      </c>
      <c r="E36" s="24" t="e">
        <f>IF(MOD(#REF!,1)=0,CONCATENATE(#REF!,"00"),CONCATENATE(INT(#REF!),"30"))</f>
        <v>#REF!</v>
      </c>
      <c r="F36" s="23" t="e">
        <f>IF(MOD(#REF!,1)=0,CONCATENATE(#REF!,"00"),CONCATENATE(INT(#REF!),"30"))</f>
        <v>#REF!</v>
      </c>
      <c r="G36" s="24" t="e">
        <f>IF(MOD(#REF!,1)=0,CONCATENATE(#REF!,"00"),CONCATENATE(INT(#REF!),"30"))</f>
        <v>#REF!</v>
      </c>
      <c r="H36" s="23" t="e">
        <f>IF(MOD(#REF!,1)=0,CONCATENATE(#REF!,"00"),CONCATENATE(INT(#REF!),"30"))</f>
        <v>#REF!</v>
      </c>
      <c r="I36" s="24" t="e">
        <f>IF(MOD(#REF!,1)=0,CONCATENATE(#REF!,"00"),CONCATENATE(INT(#REF!),"30"))</f>
        <v>#REF!</v>
      </c>
      <c r="J36" s="23" t="e">
        <f>IF(MOD(#REF!,1)=0,CONCATENATE(#REF!,"00"),CONCATENATE(INT(#REF!),"30"))</f>
        <v>#REF!</v>
      </c>
      <c r="K36" s="24" t="e">
        <f>IF(MOD(#REF!,1)=0,CONCATENATE(#REF!,"00"),CONCATENATE(INT(#REF!),"30"))</f>
        <v>#REF!</v>
      </c>
      <c r="L36" s="23" t="e">
        <f>IF(MOD(#REF!,1)=0,CONCATENATE(#REF!,"00"),CONCATENATE(INT(#REF!),"30"))</f>
        <v>#REF!</v>
      </c>
      <c r="M36" s="24" t="e">
        <f>IF(MOD(#REF!,1)=0,CONCATENATE(#REF!,"00"),CONCATENATE(INT(#REF!),"30"))</f>
        <v>#REF!</v>
      </c>
      <c r="N36" s="23" t="e">
        <f>IF(MOD(#REF!,1)=0,CONCATENATE(#REF!,"00"),CONCATENATE(INT(#REF!),"30"))</f>
        <v>#REF!</v>
      </c>
      <c r="O36" s="24" t="e">
        <f>IF(MOD(#REF!,1)=0,CONCATENATE(#REF!,"00"),CONCATENATE(INT(#REF!),"30"))</f>
        <v>#REF!</v>
      </c>
      <c r="P36" s="23" t="e">
        <f>IF(MOD(#REF!,1)=0,CONCATENATE(#REF!,"00"),CONCATENATE(INT(#REF!),"30"))</f>
        <v>#REF!</v>
      </c>
      <c r="Q36" s="24" t="e">
        <f>IF(MOD(#REF!,1)=0,CONCATENATE(#REF!,"00"),CONCATENATE(INT(#REF!),"30"))</f>
        <v>#REF!</v>
      </c>
      <c r="R36" s="23" t="e">
        <f>IF(MOD(#REF!,1)=0,CONCATENATE(#REF!,"00"),CONCATENATE(INT(#REF!),"30"))</f>
        <v>#REF!</v>
      </c>
      <c r="S36" s="24" t="e">
        <f>IF(MOD(#REF!,1)=0,CONCATENATE(#REF!,"00"),CONCATENATE(INT(#REF!),"30"))</f>
        <v>#REF!</v>
      </c>
      <c r="T36" s="23" t="e">
        <f>IF(MOD(#REF!,1)=0,CONCATENATE(#REF!,"00"),CONCATENATE(INT(#REF!),"30"))</f>
        <v>#REF!</v>
      </c>
      <c r="U36" s="24" t="e">
        <f>IF(MOD(#REF!,1)=0,CONCATENATE(#REF!,"00"),CONCATENATE(INT(#REF!),"30"))</f>
        <v>#REF!</v>
      </c>
      <c r="V36" s="23" t="e">
        <f>IF(MOD(#REF!,1)=0,CONCATENATE(#REF!,"00"),CONCATENATE(INT(#REF!),"30"))</f>
        <v>#REF!</v>
      </c>
      <c r="W36" s="24" t="e">
        <f>IF(MOD(#REF!,1)=0,CONCATENATE(#REF!,"00"),CONCATENATE(INT(#REF!),"30"))</f>
        <v>#REF!</v>
      </c>
      <c r="X36" s="23" t="e">
        <f>IF(MOD(#REF!,1)=0,CONCATENATE(#REF!,"00"),CONCATENATE(INT(#REF!),"30"))</f>
        <v>#REF!</v>
      </c>
      <c r="Y36" s="24" t="e">
        <f>IF(MOD(#REF!,1)=0,CONCATENATE(#REF!,"00"),CONCATENATE(INT(#REF!),"30"))</f>
        <v>#REF!</v>
      </c>
      <c r="Z36" s="23" t="e">
        <f>IF(MOD(#REF!,1)=0,CONCATENATE(#REF!,"00"),CONCATENATE(INT(#REF!),"30"))</f>
        <v>#REF!</v>
      </c>
      <c r="AA36" s="24" t="e">
        <f>IF(MOD(#REF!,1)=0,CONCATENATE(#REF!,"00"),CONCATENATE(INT(#REF!),"30"))</f>
        <v>#REF!</v>
      </c>
      <c r="AB36" s="23" t="e">
        <f>IF(MOD(#REF!,1)=0,CONCATENATE(#REF!,"00"),CONCATENATE(INT(#REF!),"30"))</f>
        <v>#REF!</v>
      </c>
      <c r="AC36" s="24" t="e">
        <f>IF(MOD(#REF!,1)=0,CONCATENATE(#REF!,"00"),CONCATENATE(INT(#REF!),"30"))</f>
        <v>#REF!</v>
      </c>
      <c r="AD36" s="23" t="e">
        <f>IF(MOD(#REF!,1)=0,CONCATENATE(#REF!,"00"),CONCATENATE(INT(#REF!),"30"))</f>
        <v>#REF!</v>
      </c>
      <c r="AE36" s="24" t="e">
        <f>IF(MOD(#REF!,1)=0,CONCATENATE(#REF!,"00"),CONCATENATE(INT(#REF!),"30"))</f>
        <v>#REF!</v>
      </c>
      <c r="AF36" s="23" t="e">
        <f>IF(MOD(#REF!,1)=0,CONCATENATE(#REF!,"00"),CONCATENATE(INT(#REF!),"30"))</f>
        <v>#REF!</v>
      </c>
      <c r="AG36" s="24" t="e">
        <f>IF(MOD(#REF!,1)=0,CONCATENATE(#REF!,"00"),CONCATENATE(INT(#REF!),"30"))</f>
        <v>#REF!</v>
      </c>
      <c r="AH36" s="23" t="e">
        <f>IF(MOD(#REF!,1)=0,CONCATENATE(#REF!,"00"),CONCATENATE(INT(#REF!),"30"))</f>
        <v>#REF!</v>
      </c>
      <c r="AI36" s="24" t="e">
        <f>IF(MOD(#REF!,1)=0,CONCATENATE(#REF!,"00"),CONCATENATE(INT(#REF!),"30"))</f>
        <v>#REF!</v>
      </c>
      <c r="AJ36" s="23" t="e">
        <f>IF(MOD(#REF!,1)=0,CONCATENATE(#REF!,"00"),CONCATENATE(INT(#REF!),"30"))</f>
        <v>#REF!</v>
      </c>
      <c r="AK36" s="24" t="e">
        <f>IF(MOD(#REF!,1)=0,CONCATENATE(#REF!,"00"),CONCATENATE(INT(#REF!),"30"))</f>
        <v>#REF!</v>
      </c>
      <c r="AL36" s="23" t="e">
        <f>IF(MOD(#REF!,1)=0,CONCATENATE(#REF!,"00"),CONCATENATE(INT(#REF!),"30"))</f>
        <v>#REF!</v>
      </c>
      <c r="AM36" s="24" t="e">
        <f>IF(MOD(#REF!,1)=0,CONCATENATE(#REF!,"00"),CONCATENATE(INT(#REF!),"30"))</f>
        <v>#REF!</v>
      </c>
      <c r="AN36" s="23" t="e">
        <f>IF(MOD(#REF!,1)=0,CONCATENATE(#REF!,"00"),CONCATENATE(INT(#REF!),"30"))</f>
        <v>#REF!</v>
      </c>
      <c r="AO36" s="24" t="e">
        <f>IF(MOD(#REF!,1)=0,CONCATENATE(#REF!,"00"),CONCATENATE(INT(#REF!),"30"))</f>
        <v>#REF!</v>
      </c>
      <c r="AP36" s="23" t="e">
        <f>IF(MOD(#REF!,1)=0,CONCATENATE(#REF!,"00"),CONCATENATE(INT(#REF!),"30"))</f>
        <v>#REF!</v>
      </c>
      <c r="AQ36" s="24" t="e">
        <f>IF(MOD(#REF!,1)=0,CONCATENATE(#REF!,"00"),CONCATENATE(INT(#REF!),"30"))</f>
        <v>#REF!</v>
      </c>
      <c r="AR36" s="23" t="e">
        <f>IF(MOD(#REF!,1)=0,CONCATENATE(#REF!,"00"),CONCATENATE(INT(#REF!),"30"))</f>
        <v>#REF!</v>
      </c>
      <c r="AS36" s="24" t="e">
        <f>IF(MOD(#REF!,1)=0,CONCATENATE(#REF!,"00"),CONCATENATE(INT(#REF!),"30"))</f>
        <v>#REF!</v>
      </c>
      <c r="AT36" s="23" t="e">
        <f>IF(MOD(#REF!,1)=0,CONCATENATE(#REF!,"00"),CONCATENATE(INT(#REF!),"30"))</f>
        <v>#REF!</v>
      </c>
      <c r="AU36" s="24" t="e">
        <f>IF(MOD(#REF!,1)=0,CONCATENATE(#REF!,"00"),CONCATENATE(INT(#REF!),"30"))</f>
        <v>#REF!</v>
      </c>
      <c r="AV36" s="23" t="e">
        <f>IF(MOD(#REF!,1)=0,CONCATENATE(#REF!,"00"),CONCATENATE(INT(#REF!),"30"))</f>
        <v>#REF!</v>
      </c>
      <c r="AW36" s="24" t="e">
        <f>IF(MOD(#REF!,1)=0,CONCATENATE(#REF!,"00"),CONCATENATE(INT(#REF!),"30"))</f>
        <v>#REF!</v>
      </c>
      <c r="AX36" s="23" t="e">
        <f>IF(MOD(#REF!,1)=0,CONCATENATE(#REF!,"00"),CONCATENATE(INT(#REF!),"30"))</f>
        <v>#REF!</v>
      </c>
      <c r="AY36" s="24" t="e">
        <f>IF(MOD(#REF!,1)=0,CONCATENATE(#REF!,"00"),CONCATENATE(INT(#REF!),"30"))</f>
        <v>#REF!</v>
      </c>
      <c r="AZ36" s="23" t="e">
        <f>IF(MOD(#REF!,1)=0,CONCATENATE(#REF!,"00"),CONCATENATE(INT(#REF!),"30"))</f>
        <v>#REF!</v>
      </c>
      <c r="BA36" s="24" t="e">
        <f>IF(MOD(#REF!,1)=0,CONCATENATE(#REF!,"00"),CONCATENATE(INT(#REF!),"30"))</f>
        <v>#REF!</v>
      </c>
      <c r="BB36" s="23" t="e">
        <f>IF(MOD(#REF!,1)=0,CONCATENATE(#REF!,"00"),CONCATENATE(INT(#REF!),"30"))</f>
        <v>#REF!</v>
      </c>
      <c r="BC36" s="24" t="e">
        <f>IF(MOD(#REF!,1)=0,CONCATENATE(#REF!,"00"),CONCATENATE(INT(#REF!),"30"))</f>
        <v>#REF!</v>
      </c>
      <c r="BD36" s="23" t="e">
        <f>IF(MOD(#REF!,1)=0,CONCATENATE(#REF!,"00"),CONCATENATE(INT(#REF!),"30"))</f>
        <v>#REF!</v>
      </c>
      <c r="BE36" s="24" t="e">
        <f>IF(MOD(#REF!,1)=0,CONCATENATE(#REF!,"00"),CONCATENATE(INT(#REF!),"30"))</f>
        <v>#REF!</v>
      </c>
      <c r="BF36" s="23" t="e">
        <f>IF(MOD(#REF!,1)=0,CONCATENATE(#REF!,"00"),CONCATENATE(INT(#REF!),"30"))</f>
        <v>#REF!</v>
      </c>
      <c r="BG36" s="24" t="e">
        <f>IF(MOD(#REF!,1)=0,CONCATENATE(#REF!,"00"),CONCATENATE(INT(#REF!),"30"))</f>
        <v>#REF!</v>
      </c>
      <c r="BH36" s="23" t="e">
        <f>IF(MOD(#REF!,1)=0,CONCATENATE(#REF!,"00"),CONCATENATE(INT(#REF!),"30"))</f>
        <v>#REF!</v>
      </c>
      <c r="BI36" s="24" t="e">
        <f>IF(MOD(#REF!,1)=0,CONCATENATE(#REF!,"00"),CONCATENATE(INT(#REF!),"30"))</f>
        <v>#REF!</v>
      </c>
      <c r="BJ36" s="23" t="e">
        <f>IF(MOD(#REF!,1)=0,CONCATENATE(#REF!,"00"),CONCATENATE(INT(#REF!),"30"))</f>
        <v>#REF!</v>
      </c>
      <c r="BK36" s="24" t="e">
        <f>IF(MOD(#REF!,1)=0,CONCATENATE(#REF!,"00"),CONCATENATE(INT(#REF!),"30"))</f>
        <v>#REF!</v>
      </c>
      <c r="BL36" s="23" t="e">
        <f>IF(MOD(#REF!,1)=0,CONCATENATE(#REF!,"00"),CONCATENATE(INT(#REF!),"30"))</f>
        <v>#REF!</v>
      </c>
      <c r="BM36" s="24" t="e">
        <f>IF(MOD(#REF!,1)=0,CONCATENATE(#REF!,"00"),CONCATENATE(INT(#REF!),"30"))</f>
        <v>#REF!</v>
      </c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81" ht="15" thickBot="1">
      <c r="A37" s="84"/>
      <c r="B37" s="86"/>
      <c r="C37" s="94"/>
      <c r="D37" s="25" t="e">
        <f>IF(MOD(#REF!,1)=0,CONCATENATE(#REF!,"00"),CONCATENATE(INT(#REF!),"30"))</f>
        <v>#REF!</v>
      </c>
      <c r="E37" s="26" t="e">
        <f>IF(MOD(#REF!,1)=0,CONCATENATE(#REF!,"00"),CONCATENATE(INT(#REF!),"30"))</f>
        <v>#REF!</v>
      </c>
      <c r="F37" s="25" t="e">
        <f>IF(MOD(#REF!,1)=0,CONCATENATE(#REF!,"00"),CONCATENATE(INT(#REF!),"30"))</f>
        <v>#REF!</v>
      </c>
      <c r="G37" s="26" t="e">
        <f>IF(MOD(#REF!,1)=0,CONCATENATE(#REF!,"00"),CONCATENATE(INT(#REF!),"30"))</f>
        <v>#REF!</v>
      </c>
      <c r="H37" s="25" t="e">
        <f>IF(MOD(#REF!,1)=0,CONCATENATE(#REF!,"00"),CONCATENATE(INT(#REF!),"30"))</f>
        <v>#REF!</v>
      </c>
      <c r="I37" s="26" t="e">
        <f>IF(MOD(#REF!,1)=0,CONCATENATE(#REF!,"00"),CONCATENATE(INT(#REF!),"30"))</f>
        <v>#REF!</v>
      </c>
      <c r="J37" s="25" t="e">
        <f>IF(MOD(#REF!,1)=0,CONCATENATE(#REF!,"00"),CONCATENATE(INT(#REF!),"30"))</f>
        <v>#REF!</v>
      </c>
      <c r="K37" s="26" t="e">
        <f>IF(MOD(#REF!,1)=0,CONCATENATE(#REF!,"00"),CONCATENATE(INT(#REF!),"30"))</f>
        <v>#REF!</v>
      </c>
      <c r="L37" s="25" t="e">
        <f>IF(MOD(#REF!,1)=0,CONCATENATE(#REF!,"00"),CONCATENATE(INT(#REF!),"30"))</f>
        <v>#REF!</v>
      </c>
      <c r="M37" s="26" t="e">
        <f>IF(MOD(#REF!,1)=0,CONCATENATE(#REF!,"00"),CONCATENATE(INT(#REF!),"30"))</f>
        <v>#REF!</v>
      </c>
      <c r="N37" s="25" t="e">
        <f>IF(MOD(#REF!,1)=0,CONCATENATE(#REF!,"00"),CONCATENATE(INT(#REF!),"30"))</f>
        <v>#REF!</v>
      </c>
      <c r="O37" s="26" t="e">
        <f>IF(MOD(#REF!,1)=0,CONCATENATE(#REF!,"00"),CONCATENATE(INT(#REF!),"30"))</f>
        <v>#REF!</v>
      </c>
      <c r="P37" s="25" t="e">
        <f>IF(MOD(#REF!,1)=0,CONCATENATE(#REF!,"00"),CONCATENATE(INT(#REF!),"30"))</f>
        <v>#REF!</v>
      </c>
      <c r="Q37" s="26" t="e">
        <f>IF(MOD(#REF!,1)=0,CONCATENATE(#REF!,"00"),CONCATENATE(INT(#REF!),"30"))</f>
        <v>#REF!</v>
      </c>
      <c r="R37" s="25" t="e">
        <f>IF(MOD(#REF!,1)=0,CONCATENATE(#REF!,"00"),CONCATENATE(INT(#REF!),"30"))</f>
        <v>#REF!</v>
      </c>
      <c r="S37" s="26" t="e">
        <f>IF(MOD(#REF!,1)=0,CONCATENATE(#REF!,"00"),CONCATENATE(INT(#REF!),"30"))</f>
        <v>#REF!</v>
      </c>
      <c r="T37" s="25" t="e">
        <f>IF(MOD(#REF!,1)=0,CONCATENATE(#REF!,"00"),CONCATENATE(INT(#REF!),"30"))</f>
        <v>#REF!</v>
      </c>
      <c r="U37" s="26" t="e">
        <f>IF(MOD(#REF!,1)=0,CONCATENATE(#REF!,"00"),CONCATENATE(INT(#REF!),"30"))</f>
        <v>#REF!</v>
      </c>
      <c r="V37" s="25" t="e">
        <f>IF(MOD(#REF!,1)=0,CONCATENATE(#REF!,"00"),CONCATENATE(INT(#REF!),"30"))</f>
        <v>#REF!</v>
      </c>
      <c r="W37" s="26" t="e">
        <f>IF(MOD(#REF!,1)=0,CONCATENATE(#REF!,"00"),CONCATENATE(INT(#REF!),"30"))</f>
        <v>#REF!</v>
      </c>
      <c r="X37" s="25" t="e">
        <f>IF(MOD(#REF!,1)=0,CONCATENATE(#REF!,"00"),CONCATENATE(INT(#REF!),"30"))</f>
        <v>#REF!</v>
      </c>
      <c r="Y37" s="26" t="e">
        <f>IF(MOD(#REF!,1)=0,CONCATENATE(#REF!,"00"),CONCATENATE(INT(#REF!),"30"))</f>
        <v>#REF!</v>
      </c>
      <c r="Z37" s="25" t="e">
        <f>IF(MOD(#REF!,1)=0,CONCATENATE(#REF!,"00"),CONCATENATE(INT(#REF!),"30"))</f>
        <v>#REF!</v>
      </c>
      <c r="AA37" s="26" t="e">
        <f>IF(MOD(#REF!,1)=0,CONCATENATE(#REF!,"00"),CONCATENATE(INT(#REF!),"30"))</f>
        <v>#REF!</v>
      </c>
      <c r="AB37" s="25" t="e">
        <f>IF(MOD(#REF!,1)=0,CONCATENATE(#REF!,"00"),CONCATENATE(INT(#REF!),"30"))</f>
        <v>#REF!</v>
      </c>
      <c r="AC37" s="26" t="e">
        <f>IF(MOD(#REF!,1)=0,CONCATENATE(#REF!,"00"),CONCATENATE(INT(#REF!),"30"))</f>
        <v>#REF!</v>
      </c>
      <c r="AD37" s="25" t="e">
        <f>IF(MOD(#REF!,1)=0,CONCATENATE(#REF!,"00"),CONCATENATE(INT(#REF!),"30"))</f>
        <v>#REF!</v>
      </c>
      <c r="AE37" s="26" t="e">
        <f>IF(MOD(#REF!,1)=0,CONCATENATE(#REF!,"00"),CONCATENATE(INT(#REF!),"30"))</f>
        <v>#REF!</v>
      </c>
      <c r="AF37" s="25" t="e">
        <f>IF(MOD(#REF!,1)=0,CONCATENATE(#REF!,"00"),CONCATENATE(INT(#REF!),"30"))</f>
        <v>#REF!</v>
      </c>
      <c r="AG37" s="26" t="e">
        <f>IF(MOD(#REF!,1)=0,CONCATENATE(#REF!,"00"),CONCATENATE(INT(#REF!),"30"))</f>
        <v>#REF!</v>
      </c>
      <c r="AH37" s="25" t="e">
        <f>IF(MOD(#REF!,1)=0,CONCATENATE(#REF!,"00"),CONCATENATE(INT(#REF!),"30"))</f>
        <v>#REF!</v>
      </c>
      <c r="AI37" s="26" t="e">
        <f>IF(MOD(#REF!,1)=0,CONCATENATE(#REF!,"00"),CONCATENATE(INT(#REF!),"30"))</f>
        <v>#REF!</v>
      </c>
      <c r="AJ37" s="25" t="e">
        <f>IF(MOD(#REF!,1)=0,CONCATENATE(#REF!,"00"),CONCATENATE(INT(#REF!),"30"))</f>
        <v>#REF!</v>
      </c>
      <c r="AK37" s="26" t="e">
        <f>IF(MOD(#REF!,1)=0,CONCATENATE(#REF!,"00"),CONCATENATE(INT(#REF!),"30"))</f>
        <v>#REF!</v>
      </c>
      <c r="AL37" s="25" t="e">
        <f>IF(MOD(#REF!,1)=0,CONCATENATE(#REF!,"00"),CONCATENATE(INT(#REF!),"30"))</f>
        <v>#REF!</v>
      </c>
      <c r="AM37" s="26" t="e">
        <f>IF(MOD(#REF!,1)=0,CONCATENATE(#REF!,"00"),CONCATENATE(INT(#REF!),"30"))</f>
        <v>#REF!</v>
      </c>
      <c r="AN37" s="25" t="e">
        <f>IF(MOD(#REF!,1)=0,CONCATENATE(#REF!,"00"),CONCATENATE(INT(#REF!),"30"))</f>
        <v>#REF!</v>
      </c>
      <c r="AO37" s="26" t="e">
        <f>IF(MOD(#REF!,1)=0,CONCATENATE(#REF!,"00"),CONCATENATE(INT(#REF!),"30"))</f>
        <v>#REF!</v>
      </c>
      <c r="AP37" s="25" t="e">
        <f>IF(MOD(#REF!,1)=0,CONCATENATE(#REF!,"00"),CONCATENATE(INT(#REF!),"30"))</f>
        <v>#REF!</v>
      </c>
      <c r="AQ37" s="26" t="e">
        <f>IF(MOD(#REF!,1)=0,CONCATENATE(#REF!,"00"),CONCATENATE(INT(#REF!),"30"))</f>
        <v>#REF!</v>
      </c>
      <c r="AR37" s="25" t="e">
        <f>IF(MOD(#REF!,1)=0,CONCATENATE(#REF!,"00"),CONCATENATE(INT(#REF!),"30"))</f>
        <v>#REF!</v>
      </c>
      <c r="AS37" s="26" t="e">
        <f>IF(MOD(#REF!,1)=0,CONCATENATE(#REF!,"00"),CONCATENATE(INT(#REF!),"30"))</f>
        <v>#REF!</v>
      </c>
      <c r="AT37" s="25" t="e">
        <f>IF(MOD(#REF!,1)=0,CONCATENATE(#REF!,"00"),CONCATENATE(INT(#REF!),"30"))</f>
        <v>#REF!</v>
      </c>
      <c r="AU37" s="26" t="e">
        <f>IF(MOD(#REF!,1)=0,CONCATENATE(#REF!,"00"),CONCATENATE(INT(#REF!),"30"))</f>
        <v>#REF!</v>
      </c>
      <c r="AV37" s="25" t="e">
        <f>IF(MOD(#REF!,1)=0,CONCATENATE(#REF!,"00"),CONCATENATE(INT(#REF!),"30"))</f>
        <v>#REF!</v>
      </c>
      <c r="AW37" s="26" t="e">
        <f>IF(MOD(#REF!,1)=0,CONCATENATE(#REF!,"00"),CONCATENATE(INT(#REF!),"30"))</f>
        <v>#REF!</v>
      </c>
      <c r="AX37" s="25" t="e">
        <f>IF(MOD(#REF!,1)=0,CONCATENATE(#REF!,"00"),CONCATENATE(INT(#REF!),"30"))</f>
        <v>#REF!</v>
      </c>
      <c r="AY37" s="26" t="e">
        <f>IF(MOD(#REF!,1)=0,CONCATENATE(#REF!,"00"),CONCATENATE(INT(#REF!),"30"))</f>
        <v>#REF!</v>
      </c>
      <c r="AZ37" s="25" t="e">
        <f>IF(MOD(#REF!,1)=0,CONCATENATE(#REF!,"00"),CONCATENATE(INT(#REF!),"30"))</f>
        <v>#REF!</v>
      </c>
      <c r="BA37" s="26" t="e">
        <f>IF(MOD(#REF!,1)=0,CONCATENATE(#REF!,"00"),CONCATENATE(INT(#REF!),"30"))</f>
        <v>#REF!</v>
      </c>
      <c r="BB37" s="25" t="e">
        <f>IF(MOD(#REF!,1)=0,CONCATENATE(#REF!,"00"),CONCATENATE(INT(#REF!),"30"))</f>
        <v>#REF!</v>
      </c>
      <c r="BC37" s="26" t="e">
        <f>IF(MOD(#REF!,1)=0,CONCATENATE(#REF!,"00"),CONCATENATE(INT(#REF!),"30"))</f>
        <v>#REF!</v>
      </c>
      <c r="BD37" s="25" t="e">
        <f>IF(MOD(#REF!,1)=0,CONCATENATE(#REF!,"00"),CONCATENATE(INT(#REF!),"30"))</f>
        <v>#REF!</v>
      </c>
      <c r="BE37" s="26" t="e">
        <f>IF(MOD(#REF!,1)=0,CONCATENATE(#REF!,"00"),CONCATENATE(INT(#REF!),"30"))</f>
        <v>#REF!</v>
      </c>
      <c r="BF37" s="25" t="e">
        <f>IF(MOD(#REF!,1)=0,CONCATENATE(#REF!,"00"),CONCATENATE(INT(#REF!),"30"))</f>
        <v>#REF!</v>
      </c>
      <c r="BG37" s="26" t="e">
        <f>IF(MOD(#REF!,1)=0,CONCATENATE(#REF!,"00"),CONCATENATE(INT(#REF!),"30"))</f>
        <v>#REF!</v>
      </c>
      <c r="BH37" s="25" t="e">
        <f>IF(MOD(#REF!,1)=0,CONCATENATE(#REF!,"00"),CONCATENATE(INT(#REF!),"30"))</f>
        <v>#REF!</v>
      </c>
      <c r="BI37" s="26" t="e">
        <f>IF(MOD(#REF!,1)=0,CONCATENATE(#REF!,"00"),CONCATENATE(INT(#REF!),"30"))</f>
        <v>#REF!</v>
      </c>
      <c r="BJ37" s="25" t="e">
        <f>IF(MOD(#REF!,1)=0,CONCATENATE(#REF!,"00"),CONCATENATE(INT(#REF!),"30"))</f>
        <v>#REF!</v>
      </c>
      <c r="BK37" s="26" t="e">
        <f>IF(MOD(#REF!,1)=0,CONCATENATE(#REF!,"00"),CONCATENATE(INT(#REF!),"30"))</f>
        <v>#REF!</v>
      </c>
      <c r="BL37" s="25" t="e">
        <f>IF(MOD(#REF!,1)=0,CONCATENATE(#REF!,"00"),CONCATENATE(INT(#REF!),"30"))</f>
        <v>#REF!</v>
      </c>
      <c r="BM37" s="26" t="e">
        <f>IF(MOD(#REF!,1)=0,CONCATENATE(#REF!,"00"),CONCATENATE(INT(#REF!),"30"))</f>
        <v>#REF!</v>
      </c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81" ht="40" customHeight="1" thickBot="1">
      <c r="A38" s="47"/>
      <c r="B38" s="84"/>
      <c r="C38" s="95"/>
      <c r="D38" s="104" t="e" cm="1">
        <f t="array" ref="D38">_xlfn.IFS(AND(D36="00",D37="00"),";H",AND(D36&lt;&gt;"00",D37&lt;&gt;"00"),CONCATENATE(D36,"-",E37,"(",E36,"-",D37,")"),AND(D36="00",D37&lt;&gt;"00"),CONCATENATE(D37,"-",E37),AND(D36&lt;&gt;"00",D37="00"),CONCATENATE(D36,"-",E36))</f>
        <v>#REF!</v>
      </c>
      <c r="E38" s="105"/>
      <c r="F38" s="104" t="e" cm="1">
        <f t="array" ref="F38">_xlfn.IFS(AND(F36="00",F37="00"),";H",AND(F36&lt;&gt;"00",F37&lt;&gt;"00"),CONCATENATE(F36,"-",G37,"(",G36,"-",F37,")"),AND(F36="00",F37&lt;&gt;"00"),CONCATENATE(F37,"-",G37),AND(F36&lt;&gt;"00",F37="00"),CONCATENATE(F36,"-",G36))</f>
        <v>#REF!</v>
      </c>
      <c r="G38" s="105"/>
      <c r="H38" s="104" t="e" cm="1">
        <f t="array" ref="H38">_xlfn.IFS(AND(H36="00",H37="00"),";H",AND(H36&lt;&gt;"00",H37&lt;&gt;"00"),CONCATENATE(H36,"-",I37,"(",I36,"-",H37,")"),AND(H36="00",H37&lt;&gt;"00"),CONCATENATE(H37,"-",I37),AND(H36&lt;&gt;"00",H37="00"),CONCATENATE(H36,"-",I36))</f>
        <v>#REF!</v>
      </c>
      <c r="I38" s="105"/>
      <c r="J38" s="104" t="e" cm="1">
        <f t="array" ref="J38">_xlfn.IFS(AND(J36="00",J37="00"),";H",AND(J36&lt;&gt;"00",J37&lt;&gt;"00"),CONCATENATE(J36,"-",K37,"(",K36,"-",J37,")"),AND(J36="00",J37&lt;&gt;"00"),CONCATENATE(J37,"-",K37),AND(J36&lt;&gt;"00",J37="00"),CONCATENATE(J36,"-",K36))</f>
        <v>#REF!</v>
      </c>
      <c r="K38" s="105"/>
      <c r="L38" s="104" t="e" cm="1">
        <f t="array" ref="L38">_xlfn.IFS(AND(L36="00",L37="00"),";H",AND(L36&lt;&gt;"00",L37&lt;&gt;"00"),CONCATENATE(L36,"-",M37,"(",M36,"-",L37,")"),AND(L36="00",L37&lt;&gt;"00"),CONCATENATE(L37,"-",M37),AND(L36&lt;&gt;"00",L37="00"),CONCATENATE(L36,"-",M36))</f>
        <v>#REF!</v>
      </c>
      <c r="M38" s="105"/>
      <c r="N38" s="104" t="e" cm="1">
        <f t="array" ref="N38">_xlfn.IFS(AND(N36="00",N37="00"),";H",AND(N36&lt;&gt;"00",N37&lt;&gt;"00"),CONCATENATE(N36,"-",O37,"(",O36,"-",N37,")"),AND(N36="00",N37&lt;&gt;"00"),CONCATENATE(N37,"-",O37),AND(N36&lt;&gt;"00",N37="00"),CONCATENATE(N36,"-",O36))</f>
        <v>#REF!</v>
      </c>
      <c r="O38" s="105"/>
      <c r="P38" s="104" t="e" cm="1">
        <f t="array" ref="P38">_xlfn.IFS(AND(P36="00",P37="00"),";H",AND(P36&lt;&gt;"00",P37&lt;&gt;"00"),CONCATENATE(P36,"-",Q37,"(",Q36,"-",P37,")"),AND(P36="00",P37&lt;&gt;"00"),CONCATENATE(P37,"-",Q37),AND(P36&lt;&gt;"00",P37="00"),CONCATENATE(P36,"-",Q36))</f>
        <v>#REF!</v>
      </c>
      <c r="Q38" s="105"/>
      <c r="R38" s="104" t="e" cm="1">
        <f t="array" ref="R38">_xlfn.IFS(AND(R36="00",R37="00"),";H",AND(R36&lt;&gt;"00",R37&lt;&gt;"00"),CONCATENATE(R36,"-",S37,"(",S36,"-",R37,")"),AND(R36="00",R37&lt;&gt;"00"),CONCATENATE(R37,"-",S37),AND(R36&lt;&gt;"00",R37="00"),CONCATENATE(R36,"-",S36))</f>
        <v>#REF!</v>
      </c>
      <c r="S38" s="105"/>
      <c r="T38" s="104" t="e" cm="1">
        <f t="array" ref="T38">_xlfn.IFS(AND(T36="00",T37="00"),";H",AND(T36&lt;&gt;"00",T37&lt;&gt;"00"),CONCATENATE(T36,"-",U37,"(",U36,"-",T37,")"),AND(T36="00",T37&lt;&gt;"00"),CONCATENATE(T37,"-",U37),AND(T36&lt;&gt;"00",T37="00"),CONCATENATE(T36,"-",U36))</f>
        <v>#REF!</v>
      </c>
      <c r="U38" s="105"/>
      <c r="V38" s="104" t="e" cm="1">
        <f t="array" ref="V38">_xlfn.IFS(AND(V36="00",V37="00"),";H",AND(V36&lt;&gt;"00",V37&lt;&gt;"00"),CONCATENATE(V36,"-",W37,"(",W36,"-",V37,")"),AND(V36="00",V37&lt;&gt;"00"),CONCATENATE(V37,"-",W37),AND(V36&lt;&gt;"00",V37="00"),CONCATENATE(V36,"-",W36))</f>
        <v>#REF!</v>
      </c>
      <c r="W38" s="105"/>
      <c r="X38" s="104" t="e" cm="1">
        <f t="array" ref="X38">_xlfn.IFS(AND(X36="00",X37="00"),";H",AND(X36&lt;&gt;"00",X37&lt;&gt;"00"),CONCATENATE(X36,"-",Y37,"(",Y36,"-",X37,")"),AND(X36="00",X37&lt;&gt;"00"),CONCATENATE(X37,"-",Y37),AND(X36&lt;&gt;"00",X37="00"),CONCATENATE(X36,"-",Y36))</f>
        <v>#REF!</v>
      </c>
      <c r="Y38" s="105"/>
      <c r="Z38" s="104" t="e" cm="1">
        <f t="array" ref="Z38">_xlfn.IFS(AND(Z36="00",Z37="00"),";H",AND(Z36&lt;&gt;"00",Z37&lt;&gt;"00"),CONCATENATE(Z36,"-",AA37,"(",AA36,"-",Z37,")"),AND(Z36="00",Z37&lt;&gt;"00"),CONCATENATE(Z37,"-",AA37),AND(Z36&lt;&gt;"00",Z37="00"),CONCATENATE(Z36,"-",AA36))</f>
        <v>#REF!</v>
      </c>
      <c r="AA38" s="105"/>
      <c r="AB38" s="104" t="e" cm="1">
        <f t="array" ref="AB38">_xlfn.IFS(AND(AB36="00",AB37="00"),";H",AND(AB36&lt;&gt;"00",AB37&lt;&gt;"00"),CONCATENATE(AB36,"-",AC37,"(",AC36,"-",AB37,")"),AND(AB36="00",AB37&lt;&gt;"00"),CONCATENATE(AB37,"-",AC37),AND(AB36&lt;&gt;"00",AB37="00"),CONCATENATE(AB36,"-",AC36))</f>
        <v>#REF!</v>
      </c>
      <c r="AC38" s="105"/>
      <c r="AD38" s="104" t="e" cm="1">
        <f t="array" ref="AD38">_xlfn.IFS(AND(AD36="00",AD37="00"),";H",AND(AD36&lt;&gt;"00",AD37&lt;&gt;"00"),CONCATENATE(AD36,"-",AE37,"(",AE36,"-",AD37,")"),AND(AD36="00",AD37&lt;&gt;"00"),CONCATENATE(AD37,"-",AE37),AND(AD36&lt;&gt;"00",AD37="00"),CONCATENATE(AD36,"-",AE36))</f>
        <v>#REF!</v>
      </c>
      <c r="AE38" s="105"/>
      <c r="AF38" s="104" t="e" cm="1">
        <f t="array" ref="AF38">_xlfn.IFS(AND(AF36="00",AF37="00"),";H",AND(AF36&lt;&gt;"00",AF37&lt;&gt;"00"),CONCATENATE(AF36,"-",AG37,"(",AG36,"-",AF37,")"),AND(AF36="00",AF37&lt;&gt;"00"),CONCATENATE(AF37,"-",AG37),AND(AF36&lt;&gt;"00",AF37="00"),CONCATENATE(AF36,"-",AG36))</f>
        <v>#REF!</v>
      </c>
      <c r="AG38" s="105"/>
      <c r="AH38" s="104" t="e" cm="1">
        <f t="array" ref="AH38">_xlfn.IFS(AND(AH36="00",AH37="00"),";H",AND(AH36&lt;&gt;"00",AH37&lt;&gt;"00"),CONCATENATE(AH36,"-",AI37,"(",AI36,"-",AH37,")"),AND(AH36="00",AH37&lt;&gt;"00"),CONCATENATE(AH37,"-",AI37),AND(AH36&lt;&gt;"00",AH37="00"),CONCATENATE(AH36,"-",AI36))</f>
        <v>#REF!</v>
      </c>
      <c r="AI38" s="105"/>
      <c r="AJ38" s="104" t="e" cm="1">
        <f t="array" ref="AJ38">_xlfn.IFS(AND(AJ36="00",AJ37="00"),";H",AND(AJ36&lt;&gt;"00",AJ37&lt;&gt;"00"),CONCATENATE(AJ36,"-",AK37,"(",AK36,"-",AJ37,")"),AND(AJ36="00",AJ37&lt;&gt;"00"),CONCATENATE(AJ37,"-",AK37),AND(AJ36&lt;&gt;"00",AJ37="00"),CONCATENATE(AJ36,"-",AK36))</f>
        <v>#REF!</v>
      </c>
      <c r="AK38" s="105"/>
      <c r="AL38" s="104" t="e" cm="1">
        <f t="array" ref="AL38">_xlfn.IFS(AND(AL36="00",AL37="00"),";H",AND(AL36&lt;&gt;"00",AL37&lt;&gt;"00"),CONCATENATE(AL36,"-",AM37,"(",AM36,"-",AL37,")"),AND(AL36="00",AL37&lt;&gt;"00"),CONCATENATE(AL37,"-",AM37),AND(AL36&lt;&gt;"00",AL37="00"),CONCATENATE(AL36,"-",AM36))</f>
        <v>#REF!</v>
      </c>
      <c r="AM38" s="105"/>
      <c r="AN38" s="104" t="e" cm="1">
        <f t="array" ref="AN38">_xlfn.IFS(AND(AN36="00",AN37="00"),";H",AND(AN36&lt;&gt;"00",AN37&lt;&gt;"00"),CONCATENATE(AN36,"-",AO37,"(",AO36,"-",AN37,")"),AND(AN36="00",AN37&lt;&gt;"00"),CONCATENATE(AN37,"-",AO37),AND(AN36&lt;&gt;"00",AN37="00"),CONCATENATE(AN36,"-",AO36))</f>
        <v>#REF!</v>
      </c>
      <c r="AO38" s="105"/>
      <c r="AP38" s="104" t="e" cm="1">
        <f t="array" ref="AP38">_xlfn.IFS(AND(AP36="00",AP37="00"),";H",AND(AP36&lt;&gt;"00",AP37&lt;&gt;"00"),CONCATENATE(AP36,"-",AQ37,"(",AQ36,"-",AP37,")"),AND(AP36="00",AP37&lt;&gt;"00"),CONCATENATE(AP37,"-",AQ37),AND(AP36&lt;&gt;"00",AP37="00"),CONCATENATE(AP36,"-",AQ36))</f>
        <v>#REF!</v>
      </c>
      <c r="AQ38" s="105"/>
      <c r="AR38" s="104" t="e" cm="1">
        <f t="array" ref="AR38">_xlfn.IFS(AND(AR36="00",AR37="00"),";H",AND(AR36&lt;&gt;"00",AR37&lt;&gt;"00"),CONCATENATE(AR36,"-",AS37,"(",AS36,"-",AR37,")"),AND(AR36="00",AR37&lt;&gt;"00"),CONCATENATE(AR37,"-",AS37),AND(AR36&lt;&gt;"00",AR37="00"),CONCATENATE(AR36,"-",AS36))</f>
        <v>#REF!</v>
      </c>
      <c r="AS38" s="105"/>
      <c r="AT38" s="104" t="e" cm="1">
        <f t="array" ref="AT38">_xlfn.IFS(AND(AT36="00",AT37="00"),";H",AND(AT36&lt;&gt;"00",AT37&lt;&gt;"00"),CONCATENATE(AT36,"-",AU37,"(",AU36,"-",AT37,")"),AND(AT36="00",AT37&lt;&gt;"00"),CONCATENATE(AT37,"-",AU37),AND(AT36&lt;&gt;"00",AT37="00"),CONCATENATE(AT36,"-",AU36))</f>
        <v>#REF!</v>
      </c>
      <c r="AU38" s="105"/>
      <c r="AV38" s="104" t="e" cm="1">
        <f t="array" ref="AV38">_xlfn.IFS(AND(AV36="00",AV37="00"),";H",AND(AV36&lt;&gt;"00",AV37&lt;&gt;"00"),CONCATENATE(AV36,"-",AW37,"(",AW36,"-",AV37,")"),AND(AV36="00",AV37&lt;&gt;"00"),CONCATENATE(AV37,"-",AW37),AND(AV36&lt;&gt;"00",AV37="00"),CONCATENATE(AV36,"-",AW36))</f>
        <v>#REF!</v>
      </c>
      <c r="AW38" s="105"/>
      <c r="AX38" s="104" t="e" cm="1">
        <f t="array" ref="AX38">_xlfn.IFS(AND(AX36="00",AX37="00"),";H",AND(AX36&lt;&gt;"00",AX37&lt;&gt;"00"),CONCATENATE(AX36,"-",AY37,"(",AY36,"-",AX37,")"),AND(AX36="00",AX37&lt;&gt;"00"),CONCATENATE(AX37,"-",AY37),AND(AX36&lt;&gt;"00",AX37="00"),CONCATENATE(AX36,"-",AY36))</f>
        <v>#REF!</v>
      </c>
      <c r="AY38" s="105"/>
      <c r="AZ38" s="104" t="e" cm="1">
        <f t="array" ref="AZ38">_xlfn.IFS(AND(AZ36="00",AZ37="00"),";H",AND(AZ36&lt;&gt;"00",AZ37&lt;&gt;"00"),CONCATENATE(AZ36,"-",BA37,"(",BA36,"-",AZ37,")"),AND(AZ36="00",AZ37&lt;&gt;"00"),CONCATENATE(AZ37,"-",BA37),AND(AZ36&lt;&gt;"00",AZ37="00"),CONCATENATE(AZ36,"-",BA36))</f>
        <v>#REF!</v>
      </c>
      <c r="BA38" s="105"/>
      <c r="BB38" s="104" t="e" cm="1">
        <f t="array" ref="BB38">_xlfn.IFS(AND(BB36="00",BB37="00"),";H",AND(BB36&lt;&gt;"00",BB37&lt;&gt;"00"),CONCATENATE(BB36,"-",BC37,"(",BC36,"-",BB37,")"),AND(BB36="00",BB37&lt;&gt;"00"),CONCATENATE(BB37,"-",BC37),AND(BB36&lt;&gt;"00",BB37="00"),CONCATENATE(BB36,"-",BC36))</f>
        <v>#REF!</v>
      </c>
      <c r="BC38" s="105"/>
      <c r="BD38" s="104" t="e" cm="1">
        <f t="array" ref="BD38">_xlfn.IFS(AND(BD36="00",BD37="00"),";H",AND(BD36&lt;&gt;"00",BD37&lt;&gt;"00"),CONCATENATE(BD36,"-",BE37,"(",BE36,"-",BD37,")"),AND(BD36="00",BD37&lt;&gt;"00"),CONCATENATE(BD37,"-",BE37),AND(BD36&lt;&gt;"00",BD37="00"),CONCATENATE(BD36,"-",BE36))</f>
        <v>#REF!</v>
      </c>
      <c r="BE38" s="105"/>
      <c r="BF38" s="104" t="e" cm="1">
        <f t="array" ref="BF38">_xlfn.IFS(AND(BF36="00",BF37="00"),";H",AND(BF36&lt;&gt;"00",BF37&lt;&gt;"00"),CONCATENATE(BF36,"-",BG37,"(",BG36,"-",BF37,")"),AND(BF36="00",BF37&lt;&gt;"00"),CONCATENATE(BF37,"-",BG37),AND(BF36&lt;&gt;"00",BF37="00"),CONCATENATE(BF36,"-",BG36))</f>
        <v>#REF!</v>
      </c>
      <c r="BG38" s="105"/>
      <c r="BH38" s="104" t="e" cm="1">
        <f t="array" ref="BH38">_xlfn.IFS(AND(BH36="00",BH37="00"),";H",AND(BH36&lt;&gt;"00",BH37&lt;&gt;"00"),CONCATENATE(BH36,"-",BI37,"(",BI36,"-",BH37,")"),AND(BH36="00",BH37&lt;&gt;"00"),CONCATENATE(BH37,"-",BI37),AND(BH36&lt;&gt;"00",BH37="00"),CONCATENATE(BH36,"-",BI36))</f>
        <v>#REF!</v>
      </c>
      <c r="BI38" s="105"/>
      <c r="BJ38" s="104" t="e" cm="1">
        <f t="array" ref="BJ38">_xlfn.IFS(AND(BJ36="00",BJ37="00"),";H",AND(BJ36&lt;&gt;"00",BJ37&lt;&gt;"00"),CONCATENATE(BJ36,"-",BK37,"(",BK36,"-",BJ37,")"),AND(BJ36="00",BJ37&lt;&gt;"00"),CONCATENATE(BJ37,"-",BK37),AND(BJ36&lt;&gt;"00",BJ37="00"),CONCATENATE(BJ36,"-",BK36))</f>
        <v>#REF!</v>
      </c>
      <c r="BK38" s="105"/>
      <c r="BL38" s="104" t="e" cm="1">
        <f t="array" ref="BL38">_xlfn.IFS(AND(BL36="00",BL37="00"),";H",AND(BL36&lt;&gt;"00",BL37&lt;&gt;"00"),CONCATENATE(BL36,"-",BM37,"(",BM36,"-",BL37,")"),AND(BL36="00",BL37&lt;&gt;"00"),CONCATENATE(BL37,"-",BM37),AND(BL36&lt;&gt;"00",BL37="00"),CONCATENATE(BL36,"-",BM36))</f>
        <v>#REF!</v>
      </c>
      <c r="BM38" s="105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81" ht="15" thickBot="1">
      <c r="A39" s="83"/>
      <c r="B39" s="145" t="e">
        <f>#REF!</f>
        <v>#REF!</v>
      </c>
      <c r="C39" s="93"/>
      <c r="D39" s="23" t="e">
        <f>IF(MOD(#REF!,1)=0,CONCATENATE(#REF!,"00"),CONCATENATE(INT(#REF!),"30"))</f>
        <v>#REF!</v>
      </c>
      <c r="E39" s="24" t="e">
        <f>IF(MOD(#REF!,1)=0,CONCATENATE(#REF!,"00"),CONCATENATE(INT(#REF!),"30"))</f>
        <v>#REF!</v>
      </c>
      <c r="F39" s="23" t="e">
        <f>IF(MOD(#REF!,1)=0,CONCATENATE(#REF!,"00"),CONCATENATE(INT(#REF!),"30"))</f>
        <v>#REF!</v>
      </c>
      <c r="G39" s="24" t="e">
        <f>IF(MOD(#REF!,1)=0,CONCATENATE(#REF!,"00"),CONCATENATE(INT(#REF!),"30"))</f>
        <v>#REF!</v>
      </c>
      <c r="H39" s="23" t="e">
        <f>IF(MOD(#REF!,1)=0,CONCATENATE(#REF!,"00"),CONCATENATE(INT(#REF!),"30"))</f>
        <v>#REF!</v>
      </c>
      <c r="I39" s="24" t="e">
        <f>IF(MOD(#REF!,1)=0,CONCATENATE(#REF!,"00"),CONCATENATE(INT(#REF!),"30"))</f>
        <v>#REF!</v>
      </c>
      <c r="J39" s="23" t="e">
        <f>IF(MOD(#REF!,1)=0,CONCATENATE(#REF!,"00"),CONCATENATE(INT(#REF!),"30"))</f>
        <v>#REF!</v>
      </c>
      <c r="K39" s="24" t="e">
        <f>IF(MOD(#REF!,1)=0,CONCATENATE(#REF!,"00"),CONCATENATE(INT(#REF!),"30"))</f>
        <v>#REF!</v>
      </c>
      <c r="L39" s="23" t="e">
        <f>IF(MOD(#REF!,1)=0,CONCATENATE(#REF!,"00"),CONCATENATE(INT(#REF!),"30"))</f>
        <v>#REF!</v>
      </c>
      <c r="M39" s="24" t="e">
        <f>IF(MOD(#REF!,1)=0,CONCATENATE(#REF!,"00"),CONCATENATE(INT(#REF!),"30"))</f>
        <v>#REF!</v>
      </c>
      <c r="N39" s="23" t="e">
        <f>IF(MOD(#REF!,1)=0,CONCATENATE(#REF!,"00"),CONCATENATE(INT(#REF!),"30"))</f>
        <v>#REF!</v>
      </c>
      <c r="O39" s="24" t="e">
        <f>IF(MOD(#REF!,1)=0,CONCATENATE(#REF!,"00"),CONCATENATE(INT(#REF!),"30"))</f>
        <v>#REF!</v>
      </c>
      <c r="P39" s="23" t="e">
        <f>IF(MOD(#REF!,1)=0,CONCATENATE(#REF!,"00"),CONCATENATE(INT(#REF!),"30"))</f>
        <v>#REF!</v>
      </c>
      <c r="Q39" s="24" t="e">
        <f>IF(MOD(#REF!,1)=0,CONCATENATE(#REF!,"00"),CONCATENATE(INT(#REF!),"30"))</f>
        <v>#REF!</v>
      </c>
      <c r="R39" s="23" t="e">
        <f>IF(MOD(#REF!,1)=0,CONCATENATE(#REF!,"00"),CONCATENATE(INT(#REF!),"30"))</f>
        <v>#REF!</v>
      </c>
      <c r="S39" s="24" t="e">
        <f>IF(MOD(#REF!,1)=0,CONCATENATE(#REF!,"00"),CONCATENATE(INT(#REF!),"30"))</f>
        <v>#REF!</v>
      </c>
      <c r="T39" s="23" t="e">
        <f>IF(MOD(#REF!,1)=0,CONCATENATE(#REF!,"00"),CONCATENATE(INT(#REF!),"30"))</f>
        <v>#REF!</v>
      </c>
      <c r="U39" s="24" t="e">
        <f>IF(MOD(#REF!,1)=0,CONCATENATE(#REF!,"00"),CONCATENATE(INT(#REF!),"30"))</f>
        <v>#REF!</v>
      </c>
      <c r="V39" s="23" t="e">
        <f>IF(MOD(#REF!,1)=0,CONCATENATE(#REF!,"00"),CONCATENATE(INT(#REF!),"30"))</f>
        <v>#REF!</v>
      </c>
      <c r="W39" s="24" t="e">
        <f>IF(MOD(#REF!,1)=0,CONCATENATE(#REF!,"00"),CONCATENATE(INT(#REF!),"30"))</f>
        <v>#REF!</v>
      </c>
      <c r="X39" s="23" t="e">
        <f>IF(MOD(#REF!,1)=0,CONCATENATE(#REF!,"00"),CONCATENATE(INT(#REF!),"30"))</f>
        <v>#REF!</v>
      </c>
      <c r="Y39" s="24" t="e">
        <f>IF(MOD(#REF!,1)=0,CONCATENATE(#REF!,"00"),CONCATENATE(INT(#REF!),"30"))</f>
        <v>#REF!</v>
      </c>
      <c r="Z39" s="23" t="e">
        <f>IF(MOD(#REF!,1)=0,CONCATENATE(#REF!,"00"),CONCATENATE(INT(#REF!),"30"))</f>
        <v>#REF!</v>
      </c>
      <c r="AA39" s="24" t="e">
        <f>IF(MOD(#REF!,1)=0,CONCATENATE(#REF!,"00"),CONCATENATE(INT(#REF!),"30"))</f>
        <v>#REF!</v>
      </c>
      <c r="AB39" s="23" t="e">
        <f>IF(MOD(#REF!,1)=0,CONCATENATE(#REF!,"00"),CONCATENATE(INT(#REF!),"30"))</f>
        <v>#REF!</v>
      </c>
      <c r="AC39" s="24" t="e">
        <f>IF(MOD(#REF!,1)=0,CONCATENATE(#REF!,"00"),CONCATENATE(INT(#REF!),"30"))</f>
        <v>#REF!</v>
      </c>
      <c r="AD39" s="23" t="e">
        <f>IF(MOD(#REF!,1)=0,CONCATENATE(#REF!,"00"),CONCATENATE(INT(#REF!),"30"))</f>
        <v>#REF!</v>
      </c>
      <c r="AE39" s="24" t="e">
        <f>IF(MOD(#REF!,1)=0,CONCATENATE(#REF!,"00"),CONCATENATE(INT(#REF!),"30"))</f>
        <v>#REF!</v>
      </c>
      <c r="AF39" s="23" t="e">
        <f>IF(MOD(#REF!,1)=0,CONCATENATE(#REF!,"00"),CONCATENATE(INT(#REF!),"30"))</f>
        <v>#REF!</v>
      </c>
      <c r="AG39" s="24" t="e">
        <f>IF(MOD(#REF!,1)=0,CONCATENATE(#REF!,"00"),CONCATENATE(INT(#REF!),"30"))</f>
        <v>#REF!</v>
      </c>
      <c r="AH39" s="23" t="e">
        <f>IF(MOD(#REF!,1)=0,CONCATENATE(#REF!,"00"),CONCATENATE(INT(#REF!),"30"))</f>
        <v>#REF!</v>
      </c>
      <c r="AI39" s="24" t="e">
        <f>IF(MOD(#REF!,1)=0,CONCATENATE(#REF!,"00"),CONCATENATE(INT(#REF!),"30"))</f>
        <v>#REF!</v>
      </c>
      <c r="AJ39" s="23" t="e">
        <f>IF(MOD(#REF!,1)=0,CONCATENATE(#REF!,"00"),CONCATENATE(INT(#REF!),"30"))</f>
        <v>#REF!</v>
      </c>
      <c r="AK39" s="24" t="e">
        <f>IF(MOD(#REF!,1)=0,CONCATENATE(#REF!,"00"),CONCATENATE(INT(#REF!),"30"))</f>
        <v>#REF!</v>
      </c>
      <c r="AL39" s="23" t="e">
        <f>IF(MOD(#REF!,1)=0,CONCATENATE(#REF!,"00"),CONCATENATE(INT(#REF!),"30"))</f>
        <v>#REF!</v>
      </c>
      <c r="AM39" s="24" t="e">
        <f>IF(MOD(#REF!,1)=0,CONCATENATE(#REF!,"00"),CONCATENATE(INT(#REF!),"30"))</f>
        <v>#REF!</v>
      </c>
      <c r="AN39" s="23" t="e">
        <f>IF(MOD(#REF!,1)=0,CONCATENATE(#REF!,"00"),CONCATENATE(INT(#REF!),"30"))</f>
        <v>#REF!</v>
      </c>
      <c r="AO39" s="24" t="e">
        <f>IF(MOD(#REF!,1)=0,CONCATENATE(#REF!,"00"),CONCATENATE(INT(#REF!),"30"))</f>
        <v>#REF!</v>
      </c>
      <c r="AP39" s="23" t="e">
        <f>IF(MOD(#REF!,1)=0,CONCATENATE(#REF!,"00"),CONCATENATE(INT(#REF!),"30"))</f>
        <v>#REF!</v>
      </c>
      <c r="AQ39" s="24" t="e">
        <f>IF(MOD(#REF!,1)=0,CONCATENATE(#REF!,"00"),CONCATENATE(INT(#REF!),"30"))</f>
        <v>#REF!</v>
      </c>
      <c r="AR39" s="23" t="e">
        <f>IF(MOD(#REF!,1)=0,CONCATENATE(#REF!,"00"),CONCATENATE(INT(#REF!),"30"))</f>
        <v>#REF!</v>
      </c>
      <c r="AS39" s="24" t="e">
        <f>IF(MOD(#REF!,1)=0,CONCATENATE(#REF!,"00"),CONCATENATE(INT(#REF!),"30"))</f>
        <v>#REF!</v>
      </c>
      <c r="AT39" s="23" t="e">
        <f>IF(MOD(#REF!,1)=0,CONCATENATE(#REF!,"00"),CONCATENATE(INT(#REF!),"30"))</f>
        <v>#REF!</v>
      </c>
      <c r="AU39" s="24" t="e">
        <f>IF(MOD(#REF!,1)=0,CONCATENATE(#REF!,"00"),CONCATENATE(INT(#REF!),"30"))</f>
        <v>#REF!</v>
      </c>
      <c r="AV39" s="23" t="e">
        <f>IF(MOD(#REF!,1)=0,CONCATENATE(#REF!,"00"),CONCATENATE(INT(#REF!),"30"))</f>
        <v>#REF!</v>
      </c>
      <c r="AW39" s="24" t="e">
        <f>IF(MOD(#REF!,1)=0,CONCATENATE(#REF!,"00"),CONCATENATE(INT(#REF!),"30"))</f>
        <v>#REF!</v>
      </c>
      <c r="AX39" s="23" t="e">
        <f>IF(MOD(#REF!,1)=0,CONCATENATE(#REF!,"00"),CONCATENATE(INT(#REF!),"30"))</f>
        <v>#REF!</v>
      </c>
      <c r="AY39" s="24" t="e">
        <f>IF(MOD(#REF!,1)=0,CONCATENATE(#REF!,"00"),CONCATENATE(INT(#REF!),"30"))</f>
        <v>#REF!</v>
      </c>
      <c r="AZ39" s="23" t="e">
        <f>IF(MOD(#REF!,1)=0,CONCATENATE(#REF!,"00"),CONCATENATE(INT(#REF!),"30"))</f>
        <v>#REF!</v>
      </c>
      <c r="BA39" s="24" t="e">
        <f>IF(MOD(#REF!,1)=0,CONCATENATE(#REF!,"00"),CONCATENATE(INT(#REF!),"30"))</f>
        <v>#REF!</v>
      </c>
      <c r="BB39" s="23" t="e">
        <f>IF(MOD(#REF!,1)=0,CONCATENATE(#REF!,"00"),CONCATENATE(INT(#REF!),"30"))</f>
        <v>#REF!</v>
      </c>
      <c r="BC39" s="24" t="e">
        <f>IF(MOD(#REF!,1)=0,CONCATENATE(#REF!,"00"),CONCATENATE(INT(#REF!),"30"))</f>
        <v>#REF!</v>
      </c>
      <c r="BD39" s="23" t="e">
        <f>IF(MOD(#REF!,1)=0,CONCATENATE(#REF!,"00"),CONCATENATE(INT(#REF!),"30"))</f>
        <v>#REF!</v>
      </c>
      <c r="BE39" s="24" t="e">
        <f>IF(MOD(#REF!,1)=0,CONCATENATE(#REF!,"00"),CONCATENATE(INT(#REF!),"30"))</f>
        <v>#REF!</v>
      </c>
      <c r="BF39" s="23" t="e">
        <f>IF(MOD(#REF!,1)=0,CONCATENATE(#REF!,"00"),CONCATENATE(INT(#REF!),"30"))</f>
        <v>#REF!</v>
      </c>
      <c r="BG39" s="24" t="e">
        <f>IF(MOD(#REF!,1)=0,CONCATENATE(#REF!,"00"),CONCATENATE(INT(#REF!),"30"))</f>
        <v>#REF!</v>
      </c>
      <c r="BH39" s="23" t="e">
        <f>IF(MOD(#REF!,1)=0,CONCATENATE(#REF!,"00"),CONCATENATE(INT(#REF!),"30"))</f>
        <v>#REF!</v>
      </c>
      <c r="BI39" s="24" t="e">
        <f>IF(MOD(#REF!,1)=0,CONCATENATE(#REF!,"00"),CONCATENATE(INT(#REF!),"30"))</f>
        <v>#REF!</v>
      </c>
      <c r="BJ39" s="23" t="e">
        <f>IF(MOD(#REF!,1)=0,CONCATENATE(#REF!,"00"),CONCATENATE(INT(#REF!),"30"))</f>
        <v>#REF!</v>
      </c>
      <c r="BK39" s="24" t="e">
        <f>IF(MOD(#REF!,1)=0,CONCATENATE(#REF!,"00"),CONCATENATE(INT(#REF!),"30"))</f>
        <v>#REF!</v>
      </c>
      <c r="BL39" s="23" t="e">
        <f>IF(MOD(#REF!,1)=0,CONCATENATE(#REF!,"00"),CONCATENATE(INT(#REF!),"30"))</f>
        <v>#REF!</v>
      </c>
      <c r="BM39" s="24" t="e">
        <f>IF(MOD(#REF!,1)=0,CONCATENATE(#REF!,"00"),CONCATENATE(INT(#REF!),"30"))</f>
        <v>#REF!</v>
      </c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81" ht="15" thickBot="1">
      <c r="A40" s="84"/>
      <c r="B40" s="86"/>
      <c r="C40" s="94"/>
      <c r="D40" s="25" t="e">
        <f>IF(MOD(#REF!,1)=0,CONCATENATE(#REF!,"00"),CONCATENATE(INT(#REF!),"30"))</f>
        <v>#REF!</v>
      </c>
      <c r="E40" s="26" t="e">
        <f>IF(MOD(#REF!,1)=0,CONCATENATE(#REF!,"00"),CONCATENATE(INT(#REF!),"30"))</f>
        <v>#REF!</v>
      </c>
      <c r="F40" s="25" t="e">
        <f>IF(MOD(#REF!,1)=0,CONCATENATE(#REF!,"00"),CONCATENATE(INT(#REF!),"30"))</f>
        <v>#REF!</v>
      </c>
      <c r="G40" s="26" t="e">
        <f>IF(MOD(#REF!,1)=0,CONCATENATE(#REF!,"00"),CONCATENATE(INT(#REF!),"30"))</f>
        <v>#REF!</v>
      </c>
      <c r="H40" s="25" t="e">
        <f>IF(MOD(#REF!,1)=0,CONCATENATE(#REF!,"00"),CONCATENATE(INT(#REF!),"30"))</f>
        <v>#REF!</v>
      </c>
      <c r="I40" s="26" t="e">
        <f>IF(MOD(#REF!,1)=0,CONCATENATE(#REF!,"00"),CONCATENATE(INT(#REF!),"30"))</f>
        <v>#REF!</v>
      </c>
      <c r="J40" s="25" t="e">
        <f>IF(MOD(#REF!,1)=0,CONCATENATE(#REF!,"00"),CONCATENATE(INT(#REF!),"30"))</f>
        <v>#REF!</v>
      </c>
      <c r="K40" s="26" t="e">
        <f>IF(MOD(#REF!,1)=0,CONCATENATE(#REF!,"00"),CONCATENATE(INT(#REF!),"30"))</f>
        <v>#REF!</v>
      </c>
      <c r="L40" s="25" t="e">
        <f>IF(MOD(#REF!,1)=0,CONCATENATE(#REF!,"00"),CONCATENATE(INT(#REF!),"30"))</f>
        <v>#REF!</v>
      </c>
      <c r="M40" s="26" t="e">
        <f>IF(MOD(#REF!,1)=0,CONCATENATE(#REF!,"00"),CONCATENATE(INT(#REF!),"30"))</f>
        <v>#REF!</v>
      </c>
      <c r="N40" s="25" t="e">
        <f>IF(MOD(#REF!,1)=0,CONCATENATE(#REF!,"00"),CONCATENATE(INT(#REF!),"30"))</f>
        <v>#REF!</v>
      </c>
      <c r="O40" s="26" t="e">
        <f>IF(MOD(#REF!,1)=0,CONCATENATE(#REF!,"00"),CONCATENATE(INT(#REF!),"30"))</f>
        <v>#REF!</v>
      </c>
      <c r="P40" s="25" t="e">
        <f>IF(MOD(#REF!,1)=0,CONCATENATE(#REF!,"00"),CONCATENATE(INT(#REF!),"30"))</f>
        <v>#REF!</v>
      </c>
      <c r="Q40" s="26" t="e">
        <f>IF(MOD(#REF!,1)=0,CONCATENATE(#REF!,"00"),CONCATENATE(INT(#REF!),"30"))</f>
        <v>#REF!</v>
      </c>
      <c r="R40" s="25" t="e">
        <f>IF(MOD(#REF!,1)=0,CONCATENATE(#REF!,"00"),CONCATENATE(INT(#REF!),"30"))</f>
        <v>#REF!</v>
      </c>
      <c r="S40" s="26" t="e">
        <f>IF(MOD(#REF!,1)=0,CONCATENATE(#REF!,"00"),CONCATENATE(INT(#REF!),"30"))</f>
        <v>#REF!</v>
      </c>
      <c r="T40" s="25" t="e">
        <f>IF(MOD(#REF!,1)=0,CONCATENATE(#REF!,"00"),CONCATENATE(INT(#REF!),"30"))</f>
        <v>#REF!</v>
      </c>
      <c r="U40" s="26" t="e">
        <f>IF(MOD(#REF!,1)=0,CONCATENATE(#REF!,"00"),CONCATENATE(INT(#REF!),"30"))</f>
        <v>#REF!</v>
      </c>
      <c r="V40" s="25" t="e">
        <f>IF(MOD(#REF!,1)=0,CONCATENATE(#REF!,"00"),CONCATENATE(INT(#REF!),"30"))</f>
        <v>#REF!</v>
      </c>
      <c r="W40" s="26" t="e">
        <f>IF(MOD(#REF!,1)=0,CONCATENATE(#REF!,"00"),CONCATENATE(INT(#REF!),"30"))</f>
        <v>#REF!</v>
      </c>
      <c r="X40" s="25" t="e">
        <f>IF(MOD(#REF!,1)=0,CONCATENATE(#REF!,"00"),CONCATENATE(INT(#REF!),"30"))</f>
        <v>#REF!</v>
      </c>
      <c r="Y40" s="26" t="e">
        <f>IF(MOD(#REF!,1)=0,CONCATENATE(#REF!,"00"),CONCATENATE(INT(#REF!),"30"))</f>
        <v>#REF!</v>
      </c>
      <c r="Z40" s="25" t="e">
        <f>IF(MOD(#REF!,1)=0,CONCATENATE(#REF!,"00"),CONCATENATE(INT(#REF!),"30"))</f>
        <v>#REF!</v>
      </c>
      <c r="AA40" s="26" t="e">
        <f>IF(MOD(#REF!,1)=0,CONCATENATE(#REF!,"00"),CONCATENATE(INT(#REF!),"30"))</f>
        <v>#REF!</v>
      </c>
      <c r="AB40" s="25" t="e">
        <f>IF(MOD(#REF!,1)=0,CONCATENATE(#REF!,"00"),CONCATENATE(INT(#REF!),"30"))</f>
        <v>#REF!</v>
      </c>
      <c r="AC40" s="26" t="e">
        <f>IF(MOD(#REF!,1)=0,CONCATENATE(#REF!,"00"),CONCATENATE(INT(#REF!),"30"))</f>
        <v>#REF!</v>
      </c>
      <c r="AD40" s="25" t="e">
        <f>IF(MOD(#REF!,1)=0,CONCATENATE(#REF!,"00"),CONCATENATE(INT(#REF!),"30"))</f>
        <v>#REF!</v>
      </c>
      <c r="AE40" s="26" t="e">
        <f>IF(MOD(#REF!,1)=0,CONCATENATE(#REF!,"00"),CONCATENATE(INT(#REF!),"30"))</f>
        <v>#REF!</v>
      </c>
      <c r="AF40" s="25" t="e">
        <f>IF(MOD(#REF!,1)=0,CONCATENATE(#REF!,"00"),CONCATENATE(INT(#REF!),"30"))</f>
        <v>#REF!</v>
      </c>
      <c r="AG40" s="26" t="e">
        <f>IF(MOD(#REF!,1)=0,CONCATENATE(#REF!,"00"),CONCATENATE(INT(#REF!),"30"))</f>
        <v>#REF!</v>
      </c>
      <c r="AH40" s="25" t="e">
        <f>IF(MOD(#REF!,1)=0,CONCATENATE(#REF!,"00"),CONCATENATE(INT(#REF!),"30"))</f>
        <v>#REF!</v>
      </c>
      <c r="AI40" s="26" t="e">
        <f>IF(MOD(#REF!,1)=0,CONCATENATE(#REF!,"00"),CONCATENATE(INT(#REF!),"30"))</f>
        <v>#REF!</v>
      </c>
      <c r="AJ40" s="25" t="e">
        <f>IF(MOD(#REF!,1)=0,CONCATENATE(#REF!,"00"),CONCATENATE(INT(#REF!),"30"))</f>
        <v>#REF!</v>
      </c>
      <c r="AK40" s="26" t="e">
        <f>IF(MOD(#REF!,1)=0,CONCATENATE(#REF!,"00"),CONCATENATE(INT(#REF!),"30"))</f>
        <v>#REF!</v>
      </c>
      <c r="AL40" s="25" t="e">
        <f>IF(MOD(#REF!,1)=0,CONCATENATE(#REF!,"00"),CONCATENATE(INT(#REF!),"30"))</f>
        <v>#REF!</v>
      </c>
      <c r="AM40" s="26" t="e">
        <f>IF(MOD(#REF!,1)=0,CONCATENATE(#REF!,"00"),CONCATENATE(INT(#REF!),"30"))</f>
        <v>#REF!</v>
      </c>
      <c r="AN40" s="25" t="e">
        <f>IF(MOD(#REF!,1)=0,CONCATENATE(#REF!,"00"),CONCATENATE(INT(#REF!),"30"))</f>
        <v>#REF!</v>
      </c>
      <c r="AO40" s="26" t="e">
        <f>IF(MOD(#REF!,1)=0,CONCATENATE(#REF!,"00"),CONCATENATE(INT(#REF!),"30"))</f>
        <v>#REF!</v>
      </c>
      <c r="AP40" s="25" t="e">
        <f>IF(MOD(#REF!,1)=0,CONCATENATE(#REF!,"00"),CONCATENATE(INT(#REF!),"30"))</f>
        <v>#REF!</v>
      </c>
      <c r="AQ40" s="26" t="e">
        <f>IF(MOD(#REF!,1)=0,CONCATENATE(#REF!,"00"),CONCATENATE(INT(#REF!),"30"))</f>
        <v>#REF!</v>
      </c>
      <c r="AR40" s="25" t="e">
        <f>IF(MOD(#REF!,1)=0,CONCATENATE(#REF!,"00"),CONCATENATE(INT(#REF!),"30"))</f>
        <v>#REF!</v>
      </c>
      <c r="AS40" s="26" t="e">
        <f>IF(MOD(#REF!,1)=0,CONCATENATE(#REF!,"00"),CONCATENATE(INT(#REF!),"30"))</f>
        <v>#REF!</v>
      </c>
      <c r="AT40" s="25" t="e">
        <f>IF(MOD(#REF!,1)=0,CONCATENATE(#REF!,"00"),CONCATENATE(INT(#REF!),"30"))</f>
        <v>#REF!</v>
      </c>
      <c r="AU40" s="26" t="e">
        <f>IF(MOD(#REF!,1)=0,CONCATENATE(#REF!,"00"),CONCATENATE(INT(#REF!),"30"))</f>
        <v>#REF!</v>
      </c>
      <c r="AV40" s="25" t="e">
        <f>IF(MOD(#REF!,1)=0,CONCATENATE(#REF!,"00"),CONCATENATE(INT(#REF!),"30"))</f>
        <v>#REF!</v>
      </c>
      <c r="AW40" s="26" t="e">
        <f>IF(MOD(#REF!,1)=0,CONCATENATE(#REF!,"00"),CONCATENATE(INT(#REF!),"30"))</f>
        <v>#REF!</v>
      </c>
      <c r="AX40" s="25" t="e">
        <f>IF(MOD(#REF!,1)=0,CONCATENATE(#REF!,"00"),CONCATENATE(INT(#REF!),"30"))</f>
        <v>#REF!</v>
      </c>
      <c r="AY40" s="26" t="e">
        <f>IF(MOD(#REF!,1)=0,CONCATENATE(#REF!,"00"),CONCATENATE(INT(#REF!),"30"))</f>
        <v>#REF!</v>
      </c>
      <c r="AZ40" s="25" t="e">
        <f>IF(MOD(#REF!,1)=0,CONCATENATE(#REF!,"00"),CONCATENATE(INT(#REF!),"30"))</f>
        <v>#REF!</v>
      </c>
      <c r="BA40" s="26" t="e">
        <f>IF(MOD(#REF!,1)=0,CONCATENATE(#REF!,"00"),CONCATENATE(INT(#REF!),"30"))</f>
        <v>#REF!</v>
      </c>
      <c r="BB40" s="25" t="e">
        <f>IF(MOD(#REF!,1)=0,CONCATENATE(#REF!,"00"),CONCATENATE(INT(#REF!),"30"))</f>
        <v>#REF!</v>
      </c>
      <c r="BC40" s="26" t="e">
        <f>IF(MOD(#REF!,1)=0,CONCATENATE(#REF!,"00"),CONCATENATE(INT(#REF!),"30"))</f>
        <v>#REF!</v>
      </c>
      <c r="BD40" s="25" t="e">
        <f>IF(MOD(#REF!,1)=0,CONCATENATE(#REF!,"00"),CONCATENATE(INT(#REF!),"30"))</f>
        <v>#REF!</v>
      </c>
      <c r="BE40" s="26" t="e">
        <f>IF(MOD(#REF!,1)=0,CONCATENATE(#REF!,"00"),CONCATENATE(INT(#REF!),"30"))</f>
        <v>#REF!</v>
      </c>
      <c r="BF40" s="25" t="e">
        <f>IF(MOD(#REF!,1)=0,CONCATENATE(#REF!,"00"),CONCATENATE(INT(#REF!),"30"))</f>
        <v>#REF!</v>
      </c>
      <c r="BG40" s="26" t="e">
        <f>IF(MOD(#REF!,1)=0,CONCATENATE(#REF!,"00"),CONCATENATE(INT(#REF!),"30"))</f>
        <v>#REF!</v>
      </c>
      <c r="BH40" s="25" t="e">
        <f>IF(MOD(#REF!,1)=0,CONCATENATE(#REF!,"00"),CONCATENATE(INT(#REF!),"30"))</f>
        <v>#REF!</v>
      </c>
      <c r="BI40" s="26" t="e">
        <f>IF(MOD(#REF!,1)=0,CONCATENATE(#REF!,"00"),CONCATENATE(INT(#REF!),"30"))</f>
        <v>#REF!</v>
      </c>
      <c r="BJ40" s="25" t="e">
        <f>IF(MOD(#REF!,1)=0,CONCATENATE(#REF!,"00"),CONCATENATE(INT(#REF!),"30"))</f>
        <v>#REF!</v>
      </c>
      <c r="BK40" s="26" t="e">
        <f>IF(MOD(#REF!,1)=0,CONCATENATE(#REF!,"00"),CONCATENATE(INT(#REF!),"30"))</f>
        <v>#REF!</v>
      </c>
      <c r="BL40" s="25" t="e">
        <f>IF(MOD(#REF!,1)=0,CONCATENATE(#REF!,"00"),CONCATENATE(INT(#REF!),"30"))</f>
        <v>#REF!</v>
      </c>
      <c r="BM40" s="26" t="e">
        <f>IF(MOD(#REF!,1)=0,CONCATENATE(#REF!,"00"),CONCATENATE(INT(#REF!),"30"))</f>
        <v>#REF!</v>
      </c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</row>
    <row r="41" spans="1:81" ht="40" customHeight="1" thickBot="1">
      <c r="A41" s="47"/>
      <c r="B41" s="84"/>
      <c r="C41" s="95"/>
      <c r="D41" s="104" t="e" cm="1">
        <f t="array" ref="D41">_xlfn.IFS(AND(D39="00",D40="00"),";H",AND(D39&lt;&gt;"00",D40&lt;&gt;"00"),CONCATENATE(D39,"-",E40,"(",E39,"-",D40,")"),AND(D39="00",D40&lt;&gt;"00"),CONCATENATE(D40,"-",E40),AND(D39&lt;&gt;"00",D40="00"),CONCATENATE(D39,"-",E39))</f>
        <v>#REF!</v>
      </c>
      <c r="E41" s="105"/>
      <c r="F41" s="104" t="e" cm="1">
        <f t="array" ref="F41">_xlfn.IFS(AND(F39="00",F40="00"),";H",AND(F39&lt;&gt;"00",F40&lt;&gt;"00"),CONCATENATE(F39,"-",G40,"(",G39,"-",F40,")"),AND(F39="00",F40&lt;&gt;"00"),CONCATENATE(F40,"-",G40),AND(F39&lt;&gt;"00",F40="00"),CONCATENATE(F39,"-",G39))</f>
        <v>#REF!</v>
      </c>
      <c r="G41" s="105"/>
      <c r="H41" s="104" t="e" cm="1">
        <f t="array" ref="H41">_xlfn.IFS(AND(H39="00",H40="00"),";H",AND(H39&lt;&gt;"00",H40&lt;&gt;"00"),CONCATENATE(H39,"-",I40,"(",I39,"-",H40,")"),AND(H39="00",H40&lt;&gt;"00"),CONCATENATE(H40,"-",I40),AND(H39&lt;&gt;"00",H40="00"),CONCATENATE(H39,"-",I39))</f>
        <v>#REF!</v>
      </c>
      <c r="I41" s="105"/>
      <c r="J41" s="104" t="e" cm="1">
        <f t="array" ref="J41">_xlfn.IFS(AND(J39="00",J40="00"),";H",AND(J39&lt;&gt;"00",J40&lt;&gt;"00"),CONCATENATE(J39,"-",K40,"(",K39,"-",J40,")"),AND(J39="00",J40&lt;&gt;"00"),CONCATENATE(J40,"-",K40),AND(J39&lt;&gt;"00",J40="00"),CONCATENATE(J39,"-",K39))</f>
        <v>#REF!</v>
      </c>
      <c r="K41" s="105"/>
      <c r="L41" s="104" t="e" cm="1">
        <f t="array" ref="L41">_xlfn.IFS(AND(L39="00",L40="00"),";H",AND(L39&lt;&gt;"00",L40&lt;&gt;"00"),CONCATENATE(L39,"-",M40,"(",M39,"-",L40,")"),AND(L39="00",L40&lt;&gt;"00"),CONCATENATE(L40,"-",M40),AND(L39&lt;&gt;"00",L40="00"),CONCATENATE(L39,"-",M39))</f>
        <v>#REF!</v>
      </c>
      <c r="M41" s="105"/>
      <c r="N41" s="104" t="e" cm="1">
        <f t="array" ref="N41">_xlfn.IFS(AND(N39="00",N40="00"),";H",AND(N39&lt;&gt;"00",N40&lt;&gt;"00"),CONCATENATE(N39,"-",O40,"(",O39,"-",N40,")"),AND(N39="00",N40&lt;&gt;"00"),CONCATENATE(N40,"-",O40),AND(N39&lt;&gt;"00",N40="00"),CONCATENATE(N39,"-",O39))</f>
        <v>#REF!</v>
      </c>
      <c r="O41" s="105"/>
      <c r="P41" s="104" t="e" cm="1">
        <f t="array" ref="P41">_xlfn.IFS(AND(P39="00",P40="00"),";H",AND(P39&lt;&gt;"00",P40&lt;&gt;"00"),CONCATENATE(P39,"-",Q40,"(",Q39,"-",P40,")"),AND(P39="00",P40&lt;&gt;"00"),CONCATENATE(P40,"-",Q40),AND(P39&lt;&gt;"00",P40="00"),CONCATENATE(P39,"-",Q39))</f>
        <v>#REF!</v>
      </c>
      <c r="Q41" s="105"/>
      <c r="R41" s="104" t="e" cm="1">
        <f t="array" ref="R41">_xlfn.IFS(AND(R39="00",R40="00"),";H",AND(R39&lt;&gt;"00",R40&lt;&gt;"00"),CONCATENATE(R39,"-",S40,"(",S39,"-",R40,")"),AND(R39="00",R40&lt;&gt;"00"),CONCATENATE(R40,"-",S40),AND(R39&lt;&gt;"00",R40="00"),CONCATENATE(R39,"-",S39))</f>
        <v>#REF!</v>
      </c>
      <c r="S41" s="105"/>
      <c r="T41" s="104" t="e" cm="1">
        <f t="array" ref="T41">_xlfn.IFS(AND(T39="00",T40="00"),";H",AND(T39&lt;&gt;"00",T40&lt;&gt;"00"),CONCATENATE(T39,"-",U40,"(",U39,"-",T40,")"),AND(T39="00",T40&lt;&gt;"00"),CONCATENATE(T40,"-",U40),AND(T39&lt;&gt;"00",T40="00"),CONCATENATE(T39,"-",U39))</f>
        <v>#REF!</v>
      </c>
      <c r="U41" s="105"/>
      <c r="V41" s="104" t="e" cm="1">
        <f t="array" ref="V41">_xlfn.IFS(AND(V39="00",V40="00"),";H",AND(V39&lt;&gt;"00",V40&lt;&gt;"00"),CONCATENATE(V39,"-",W40,"(",W39,"-",V40,")"),AND(V39="00",V40&lt;&gt;"00"),CONCATENATE(V40,"-",W40),AND(V39&lt;&gt;"00",V40="00"),CONCATENATE(V39,"-",W39))</f>
        <v>#REF!</v>
      </c>
      <c r="W41" s="105"/>
      <c r="X41" s="104" t="e" cm="1">
        <f t="array" ref="X41">_xlfn.IFS(AND(X39="00",X40="00"),";H",AND(X39&lt;&gt;"00",X40&lt;&gt;"00"),CONCATENATE(X39,"-",Y40,"(",Y39,"-",X40,")"),AND(X39="00",X40&lt;&gt;"00"),CONCATENATE(X40,"-",Y40),AND(X39&lt;&gt;"00",X40="00"),CONCATENATE(X39,"-",Y39))</f>
        <v>#REF!</v>
      </c>
      <c r="Y41" s="105"/>
      <c r="Z41" s="104" t="e" cm="1">
        <f t="array" ref="Z41">_xlfn.IFS(AND(Z39="00",Z40="00"),";H",AND(Z39&lt;&gt;"00",Z40&lt;&gt;"00"),CONCATENATE(Z39,"-",AA40,"(",AA39,"-",Z40,")"),AND(Z39="00",Z40&lt;&gt;"00"),CONCATENATE(Z40,"-",AA40),AND(Z39&lt;&gt;"00",Z40="00"),CONCATENATE(Z39,"-",AA39))</f>
        <v>#REF!</v>
      </c>
      <c r="AA41" s="105"/>
      <c r="AB41" s="104" t="e" cm="1">
        <f t="array" ref="AB41">_xlfn.IFS(AND(AB39="00",AB40="00"),";H",AND(AB39&lt;&gt;"00",AB40&lt;&gt;"00"),CONCATENATE(AB39,"-",AC40,"(",AC39,"-",AB40,")"),AND(AB39="00",AB40&lt;&gt;"00"),CONCATENATE(AB40,"-",AC40),AND(AB39&lt;&gt;"00",AB40="00"),CONCATENATE(AB39,"-",AC39))</f>
        <v>#REF!</v>
      </c>
      <c r="AC41" s="105"/>
      <c r="AD41" s="104" t="e" cm="1">
        <f t="array" ref="AD41">_xlfn.IFS(AND(AD39="00",AD40="00"),";H",AND(AD39&lt;&gt;"00",AD40&lt;&gt;"00"),CONCATENATE(AD39,"-",AE40,"(",AE39,"-",AD40,")"),AND(AD39="00",AD40&lt;&gt;"00"),CONCATENATE(AD40,"-",AE40),AND(AD39&lt;&gt;"00",AD40="00"),CONCATENATE(AD39,"-",AE39))</f>
        <v>#REF!</v>
      </c>
      <c r="AE41" s="105"/>
      <c r="AF41" s="104" t="e" cm="1">
        <f t="array" ref="AF41">_xlfn.IFS(AND(AF39="00",AF40="00"),";H",AND(AF39&lt;&gt;"00",AF40&lt;&gt;"00"),CONCATENATE(AF39,"-",AG40,"(",AG39,"-",AF40,")"),AND(AF39="00",AF40&lt;&gt;"00"),CONCATENATE(AF40,"-",AG40),AND(AF39&lt;&gt;"00",AF40="00"),CONCATENATE(AF39,"-",AG39))</f>
        <v>#REF!</v>
      </c>
      <c r="AG41" s="105"/>
      <c r="AH41" s="104" t="e" cm="1">
        <f t="array" ref="AH41">_xlfn.IFS(AND(AH39="00",AH40="00"),";H",AND(AH39&lt;&gt;"00",AH40&lt;&gt;"00"),CONCATENATE(AH39,"-",AI40,"(",AI39,"-",AH40,")"),AND(AH39="00",AH40&lt;&gt;"00"),CONCATENATE(AH40,"-",AI40),AND(AH39&lt;&gt;"00",AH40="00"),CONCATENATE(AH39,"-",AI39))</f>
        <v>#REF!</v>
      </c>
      <c r="AI41" s="105"/>
      <c r="AJ41" s="104" t="e" cm="1">
        <f t="array" ref="AJ41">_xlfn.IFS(AND(AJ39="00",AJ40="00"),";H",AND(AJ39&lt;&gt;"00",AJ40&lt;&gt;"00"),CONCATENATE(AJ39,"-",AK40,"(",AK39,"-",AJ40,")"),AND(AJ39="00",AJ40&lt;&gt;"00"),CONCATENATE(AJ40,"-",AK40),AND(AJ39&lt;&gt;"00",AJ40="00"),CONCATENATE(AJ39,"-",AK39))</f>
        <v>#REF!</v>
      </c>
      <c r="AK41" s="105"/>
      <c r="AL41" s="104" t="e" cm="1">
        <f t="array" ref="AL41">_xlfn.IFS(AND(AL39="00",AL40="00"),";H",AND(AL39&lt;&gt;"00",AL40&lt;&gt;"00"),CONCATENATE(AL39,"-",AM40,"(",AM39,"-",AL40,")"),AND(AL39="00",AL40&lt;&gt;"00"),CONCATENATE(AL40,"-",AM40),AND(AL39&lt;&gt;"00",AL40="00"),CONCATENATE(AL39,"-",AM39))</f>
        <v>#REF!</v>
      </c>
      <c r="AM41" s="105"/>
      <c r="AN41" s="104" t="e" cm="1">
        <f t="array" ref="AN41">_xlfn.IFS(AND(AN39="00",AN40="00"),";H",AND(AN39&lt;&gt;"00",AN40&lt;&gt;"00"),CONCATENATE(AN39,"-",AO40,"(",AO39,"-",AN40,")"),AND(AN39="00",AN40&lt;&gt;"00"),CONCATENATE(AN40,"-",AO40),AND(AN39&lt;&gt;"00",AN40="00"),CONCATENATE(AN39,"-",AO39))</f>
        <v>#REF!</v>
      </c>
      <c r="AO41" s="105"/>
      <c r="AP41" s="104" t="e" cm="1">
        <f t="array" ref="AP41">_xlfn.IFS(AND(AP39="00",AP40="00"),";H",AND(AP39&lt;&gt;"00",AP40&lt;&gt;"00"),CONCATENATE(AP39,"-",AQ40,"(",AQ39,"-",AP40,")"),AND(AP39="00",AP40&lt;&gt;"00"),CONCATENATE(AP40,"-",AQ40),AND(AP39&lt;&gt;"00",AP40="00"),CONCATENATE(AP39,"-",AQ39))</f>
        <v>#REF!</v>
      </c>
      <c r="AQ41" s="105"/>
      <c r="AR41" s="104" t="e" cm="1">
        <f t="array" ref="AR41">_xlfn.IFS(AND(AR39="00",AR40="00"),";H",AND(AR39&lt;&gt;"00",AR40&lt;&gt;"00"),CONCATENATE(AR39,"-",AS40,"(",AS39,"-",AR40,")"),AND(AR39="00",AR40&lt;&gt;"00"),CONCATENATE(AR40,"-",AS40),AND(AR39&lt;&gt;"00",AR40="00"),CONCATENATE(AR39,"-",AS39))</f>
        <v>#REF!</v>
      </c>
      <c r="AS41" s="105"/>
      <c r="AT41" s="104" t="e" cm="1">
        <f t="array" ref="AT41">_xlfn.IFS(AND(AT39="00",AT40="00"),";H",AND(AT39&lt;&gt;"00",AT40&lt;&gt;"00"),CONCATENATE(AT39,"-",AU40,"(",AU39,"-",AT40,")"),AND(AT39="00",AT40&lt;&gt;"00"),CONCATENATE(AT40,"-",AU40),AND(AT39&lt;&gt;"00",AT40="00"),CONCATENATE(AT39,"-",AU39))</f>
        <v>#REF!</v>
      </c>
      <c r="AU41" s="105"/>
      <c r="AV41" s="104" t="e" cm="1">
        <f t="array" ref="AV41">_xlfn.IFS(AND(AV39="00",AV40="00"),";H",AND(AV39&lt;&gt;"00",AV40&lt;&gt;"00"),CONCATENATE(AV39,"-",AW40,"(",AW39,"-",AV40,")"),AND(AV39="00",AV40&lt;&gt;"00"),CONCATENATE(AV40,"-",AW40),AND(AV39&lt;&gt;"00",AV40="00"),CONCATENATE(AV39,"-",AW39))</f>
        <v>#REF!</v>
      </c>
      <c r="AW41" s="105"/>
      <c r="AX41" s="104" t="e" cm="1">
        <f t="array" ref="AX41">_xlfn.IFS(AND(AX39="00",AX40="00"),";H",AND(AX39&lt;&gt;"00",AX40&lt;&gt;"00"),CONCATENATE(AX39,"-",AY40,"(",AY39,"-",AX40,")"),AND(AX39="00",AX40&lt;&gt;"00"),CONCATENATE(AX40,"-",AY40),AND(AX39&lt;&gt;"00",AX40="00"),CONCATENATE(AX39,"-",AY39))</f>
        <v>#REF!</v>
      </c>
      <c r="AY41" s="105"/>
      <c r="AZ41" s="104" t="e" cm="1">
        <f t="array" ref="AZ41">_xlfn.IFS(AND(AZ39="00",AZ40="00"),";H",AND(AZ39&lt;&gt;"00",AZ40&lt;&gt;"00"),CONCATENATE(AZ39,"-",BA40,"(",BA39,"-",AZ40,")"),AND(AZ39="00",AZ40&lt;&gt;"00"),CONCATENATE(AZ40,"-",BA40),AND(AZ39&lt;&gt;"00",AZ40="00"),CONCATENATE(AZ39,"-",BA39))</f>
        <v>#REF!</v>
      </c>
      <c r="BA41" s="105"/>
      <c r="BB41" s="104" t="e" cm="1">
        <f t="array" ref="BB41">_xlfn.IFS(AND(BB39="00",BB40="00"),";H",AND(BB39&lt;&gt;"00",BB40&lt;&gt;"00"),CONCATENATE(BB39,"-",BC40,"(",BC39,"-",BB40,")"),AND(BB39="00",BB40&lt;&gt;"00"),CONCATENATE(BB40,"-",BC40),AND(BB39&lt;&gt;"00",BB40="00"),CONCATENATE(BB39,"-",BC39))</f>
        <v>#REF!</v>
      </c>
      <c r="BC41" s="105"/>
      <c r="BD41" s="104" t="e" cm="1">
        <f t="array" ref="BD41">_xlfn.IFS(AND(BD39="00",BD40="00"),";H",AND(BD39&lt;&gt;"00",BD40&lt;&gt;"00"),CONCATENATE(BD39,"-",BE40,"(",BE39,"-",BD40,")"),AND(BD39="00",BD40&lt;&gt;"00"),CONCATENATE(BD40,"-",BE40),AND(BD39&lt;&gt;"00",BD40="00"),CONCATENATE(BD39,"-",BE39))</f>
        <v>#REF!</v>
      </c>
      <c r="BE41" s="105"/>
      <c r="BF41" s="104" t="e" cm="1">
        <f t="array" ref="BF41">_xlfn.IFS(AND(BF39="00",BF40="00"),";H",AND(BF39&lt;&gt;"00",BF40&lt;&gt;"00"),CONCATENATE(BF39,"-",BG40,"(",BG39,"-",BF40,")"),AND(BF39="00",BF40&lt;&gt;"00"),CONCATENATE(BF40,"-",BG40),AND(BF39&lt;&gt;"00",BF40="00"),CONCATENATE(BF39,"-",BG39))</f>
        <v>#REF!</v>
      </c>
      <c r="BG41" s="105"/>
      <c r="BH41" s="104" t="e" cm="1">
        <f t="array" ref="BH41">_xlfn.IFS(AND(BH39="00",BH40="00"),";H",AND(BH39&lt;&gt;"00",BH40&lt;&gt;"00"),CONCATENATE(BH39,"-",BI40,"(",BI39,"-",BH40,")"),AND(BH39="00",BH40&lt;&gt;"00"),CONCATENATE(BH40,"-",BI40),AND(BH39&lt;&gt;"00",BH40="00"),CONCATENATE(BH39,"-",BI39))</f>
        <v>#REF!</v>
      </c>
      <c r="BI41" s="105"/>
      <c r="BJ41" s="104" t="e" cm="1">
        <f t="array" ref="BJ41">_xlfn.IFS(AND(BJ39="00",BJ40="00"),";H",AND(BJ39&lt;&gt;"00",BJ40&lt;&gt;"00"),CONCATENATE(BJ39,"-",BK40,"(",BK39,"-",BJ40,")"),AND(BJ39="00",BJ40&lt;&gt;"00"),CONCATENATE(BJ40,"-",BK40),AND(BJ39&lt;&gt;"00",BJ40="00"),CONCATENATE(BJ39,"-",BK39))</f>
        <v>#REF!</v>
      </c>
      <c r="BK41" s="105"/>
      <c r="BL41" s="104" t="e" cm="1">
        <f t="array" ref="BL41">_xlfn.IFS(AND(BL39="00",BL40="00"),";H",AND(BL39&lt;&gt;"00",BL40&lt;&gt;"00"),CONCATENATE(BL39,"-",BM40,"(",BM39,"-",BL40,")"),AND(BL39="00",BL40&lt;&gt;"00"),CONCATENATE(BL40,"-",BM40),AND(BL39&lt;&gt;"00",BL40="00"),CONCATENATE(BL39,"-",BM39))</f>
        <v>#REF!</v>
      </c>
      <c r="BM41" s="105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81" ht="15" thickBo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81" ht="15" thickBo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81" ht="15" thickBo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81" ht="15" thickBo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81" ht="15" thickBo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</row>
    <row r="47" spans="1:81" ht="15" thickBo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81" ht="15" thickBo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 ht="15" thickBo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 ht="15" thickBo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 ht="15" thickBo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 ht="15" thickBo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 ht="15" thickBo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 ht="15" thickBo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 ht="15" thickBo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 ht="15" thickBo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</row>
    <row r="57" spans="1:81" ht="15" thickBo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 ht="15" thickBo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 ht="15" thickBo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 ht="15" thickBo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 ht="15" thickBo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 ht="15" thickBo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 ht="15" thickBo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</row>
    <row r="64" spans="1:81" ht="15" thickBo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 ht="15" thickBo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 ht="15" thickBo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 ht="15" thickBo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 ht="15" thickBo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 ht="15" thickBo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 ht="15" thickBo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 ht="15" thickBo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</row>
    <row r="72" spans="1:81" ht="15" thickBo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 ht="15" thickBo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 ht="15" thickBo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 ht="15" thickBo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 ht="15" thickBo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</row>
    <row r="77" spans="1:81" ht="15" thickBo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 ht="15" thickBo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 ht="15" thickBo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 ht="15" thickBo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 ht="15" thickBo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 ht="15" thickBo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 ht="15" thickBo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</row>
    <row r="84" spans="1:81" ht="15" thickBo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 ht="15" thickBo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</row>
    <row r="86" spans="1:81" ht="15" thickBo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 ht="15" thickBo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 ht="15" thickBo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 ht="15" thickBo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 ht="15" thickBo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 ht="15" thickBo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 ht="15" thickBo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 ht="15" thickBo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 ht="15" thickBo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 ht="15" thickBo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 ht="15" thickBo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:81" ht="15" thickBo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:81" ht="15" thickBo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:81" ht="15" thickBo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:81" ht="15" thickBo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  <row r="101" spans="1:81" ht="15" thickBo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</row>
    <row r="102" spans="1:81" ht="15" thickBo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</row>
    <row r="103" spans="1:81" ht="15" thickBo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</row>
    <row r="104" spans="1:81" ht="15" thickBo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</row>
    <row r="105" spans="1:81" ht="15" thickBo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</row>
    <row r="106" spans="1:81" ht="15" thickBo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</row>
    <row r="107" spans="1:81" ht="15" thickBo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</row>
    <row r="108" spans="1:81" ht="15" thickBo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</row>
    <row r="109" spans="1:81" ht="15" thickBo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</row>
    <row r="110" spans="1:81" ht="15" thickBo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</row>
    <row r="111" spans="1:81" ht="15" thickBo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</row>
    <row r="112" spans="1:81" ht="15" thickBo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</row>
    <row r="113" spans="1:81" ht="15" thickBo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</row>
    <row r="114" spans="1:81" ht="15" thickBo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</row>
    <row r="115" spans="1:81" ht="15" thickBo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</row>
    <row r="116" spans="1:81" ht="15" thickBo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</row>
    <row r="117" spans="1:81" ht="15" thickBo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</row>
    <row r="118" spans="1:81" ht="15" thickBo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</row>
    <row r="119" spans="1:81" ht="15" thickBo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</row>
    <row r="120" spans="1:81" ht="15" thickBo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</row>
    <row r="121" spans="1:81" ht="15" thickBo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</row>
    <row r="122" spans="1:81" ht="15" thickBo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</row>
    <row r="123" spans="1:81" ht="15" thickBo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</row>
    <row r="124" spans="1:81" ht="15" thickBo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</row>
    <row r="125" spans="1:81" ht="15" thickBo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</row>
    <row r="126" spans="1:81" ht="15" thickBo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</row>
    <row r="127" spans="1:81" ht="15" thickBo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</row>
    <row r="128" spans="1:81" ht="15" thickBo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</row>
    <row r="129" spans="1:81" ht="15" thickBo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</row>
    <row r="130" spans="1:81" ht="15" thickBo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</row>
    <row r="131" spans="1:81" ht="15" thickBo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</row>
    <row r="132" spans="1:81" ht="15" thickBo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</row>
    <row r="133" spans="1:81" ht="15" thickBo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</row>
    <row r="134" spans="1:81" ht="15" thickBo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</row>
    <row r="135" spans="1:81" ht="15" thickBo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</row>
    <row r="136" spans="1:81" ht="15" thickBo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</row>
    <row r="137" spans="1:81" ht="15" thickBo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</row>
    <row r="138" spans="1:81" ht="15" thickBo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</row>
    <row r="139" spans="1:81" ht="15" thickBo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</row>
    <row r="140" spans="1:81" ht="15" thickBo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</row>
    <row r="141" spans="1:81" ht="15" thickBo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</row>
    <row r="142" spans="1:81" ht="15" thickBo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</row>
    <row r="143" spans="1:81" ht="15" thickBo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</row>
    <row r="144" spans="1:81" ht="15" thickBo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</row>
    <row r="145" spans="1:81" ht="15" thickBo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</row>
    <row r="146" spans="1:81" ht="15" thickBo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</row>
    <row r="147" spans="1:81" ht="15" thickBo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</row>
    <row r="148" spans="1:81" ht="15" thickBo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</row>
    <row r="149" spans="1:81" ht="15" thickBo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</row>
    <row r="150" spans="1:81" ht="15" thickBo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</row>
    <row r="151" spans="1:81" ht="15" thickBo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</row>
    <row r="152" spans="1:81" ht="15" thickBo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</row>
    <row r="153" spans="1:81" ht="15" thickBo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</row>
    <row r="154" spans="1:81" ht="15" thickBo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</row>
    <row r="155" spans="1:81" ht="15" thickBo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</row>
    <row r="156" spans="1:81" ht="15" thickBo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</row>
    <row r="157" spans="1:81" ht="15" thickBo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</row>
    <row r="158" spans="1:81" ht="15" thickBo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</row>
    <row r="159" spans="1:81" ht="15" thickBo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</row>
    <row r="160" spans="1:81" ht="15" thickBo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</row>
    <row r="161" spans="1:81" ht="15" thickBo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</row>
    <row r="162" spans="1:81" ht="15" thickBo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</row>
    <row r="163" spans="1:81" ht="15" thickBo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</row>
    <row r="164" spans="1:81" ht="15" thickBo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</row>
    <row r="165" spans="1:81" ht="15" thickBo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</row>
    <row r="166" spans="1:81" ht="15" thickBo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</row>
    <row r="167" spans="1:81" ht="15" thickBo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</row>
    <row r="168" spans="1:81" ht="15" thickBo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</row>
    <row r="169" spans="1:81" ht="15" thickBo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</row>
    <row r="170" spans="1:81" ht="15" thickBo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</row>
    <row r="171" spans="1:81" ht="15" thickBo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</row>
    <row r="172" spans="1:81" ht="15" thickBo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</row>
    <row r="173" spans="1:81" ht="15" thickBo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</row>
    <row r="174" spans="1:81" ht="15" thickBo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</row>
    <row r="175" spans="1:81" ht="15" thickBo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</row>
    <row r="176" spans="1:81" ht="15" thickBo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</row>
    <row r="177" spans="1:81" ht="15" thickBo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</row>
    <row r="178" spans="1:81" ht="15" thickBo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</row>
    <row r="179" spans="1:81" ht="15" thickBo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</row>
    <row r="180" spans="1:81" ht="15" thickBo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</row>
    <row r="181" spans="1:81" ht="15" thickBo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</row>
    <row r="182" spans="1:81" ht="15" thickBo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</row>
    <row r="183" spans="1:81" ht="15" thickBo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</row>
    <row r="184" spans="1:81" ht="15" thickBo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</row>
    <row r="185" spans="1:81" ht="15" thickBo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</row>
    <row r="186" spans="1:81" ht="15" thickBo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</row>
    <row r="187" spans="1:81" ht="15" thickBo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</row>
    <row r="188" spans="1:81" ht="15" thickBo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</row>
    <row r="189" spans="1:81" ht="15" thickBo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</row>
    <row r="190" spans="1:81" ht="15" thickBo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</row>
    <row r="191" spans="1:81" ht="15" thickBo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</row>
    <row r="192" spans="1:81" ht="15" thickBo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</row>
    <row r="193" spans="1:81" ht="15" thickBo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</row>
    <row r="194" spans="1:81" ht="15" thickBo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</row>
    <row r="195" spans="1:81" ht="15" thickBo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</row>
    <row r="196" spans="1:81" ht="15" thickBo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</row>
    <row r="197" spans="1:81" ht="15" thickBo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</row>
    <row r="198" spans="1:81" ht="15" thickBo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</row>
    <row r="199" spans="1:81" ht="15" thickBo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</row>
    <row r="200" spans="1:81" ht="15" thickBo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</row>
    <row r="201" spans="1:81" ht="15" thickBo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</row>
    <row r="202" spans="1:81" ht="15" thickBo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</row>
    <row r="203" spans="1:81" ht="15" thickBo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</row>
    <row r="204" spans="1:81" ht="15" thickBo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</row>
    <row r="205" spans="1:81" ht="15" thickBo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</row>
    <row r="206" spans="1:81" ht="15" thickBo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</row>
    <row r="207" spans="1:81" ht="15" thickBo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</row>
    <row r="208" spans="1:81" ht="15" thickBo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</row>
    <row r="209" spans="1:81" ht="15" thickBo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</row>
    <row r="210" spans="1:81" ht="15" thickBo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</row>
    <row r="211" spans="1:81" ht="15" thickBo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</row>
    <row r="212" spans="1:81" ht="15" thickBo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</row>
    <row r="213" spans="1:81" ht="15" thickBo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</row>
    <row r="214" spans="1:81" ht="15" thickBo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</row>
    <row r="215" spans="1:81" ht="15" thickBo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</row>
    <row r="216" spans="1:81" ht="15" thickBo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</row>
    <row r="217" spans="1:81" ht="15" thickBo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</row>
    <row r="218" spans="1:81" ht="15" thickBo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</row>
    <row r="219" spans="1:81" ht="15" thickBo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</row>
    <row r="220" spans="1:81" ht="15" thickBo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</row>
    <row r="221" spans="1:81" ht="15" thickBo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</row>
    <row r="222" spans="1:81" ht="15" thickBo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</row>
    <row r="223" spans="1:81" ht="15" thickBo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</row>
    <row r="224" spans="1:81" ht="15" thickBo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</row>
    <row r="225" spans="1:81" ht="15" thickBo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</row>
    <row r="226" spans="1:81" ht="15" thickBo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</row>
    <row r="227" spans="1:81" ht="15" thickBo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</row>
    <row r="228" spans="1:81" ht="15" thickBo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</row>
    <row r="229" spans="1:81" ht="15" thickBo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</row>
    <row r="230" spans="1:81" ht="15" thickBo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</row>
    <row r="231" spans="1:81" ht="15" thickBo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</row>
    <row r="232" spans="1:81" ht="15" thickBo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</row>
    <row r="233" spans="1:81" ht="15" thickBo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</row>
    <row r="234" spans="1:81" ht="15" thickBo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</row>
    <row r="235" spans="1:81" ht="15" thickBo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</row>
    <row r="236" spans="1:81" ht="15" thickBo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</row>
    <row r="237" spans="1:81" ht="15" thickBo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</row>
    <row r="238" spans="1:81" ht="15" thickBo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</row>
    <row r="239" spans="1:81" ht="15" thickBo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</row>
    <row r="240" spans="1:81" ht="15" thickBo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</row>
    <row r="241" spans="1:81" ht="15" thickBo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</row>
    <row r="242" spans="1:81" ht="15" thickBo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</row>
    <row r="243" spans="1:81" ht="15" thickBo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</row>
    <row r="244" spans="1:81" ht="15" thickBo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</row>
    <row r="245" spans="1:81" ht="15" thickBo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</row>
    <row r="246" spans="1:81" ht="15" thickBo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</row>
    <row r="247" spans="1:81" ht="15" thickBo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</row>
    <row r="248" spans="1:81" ht="15" thickBo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</row>
    <row r="249" spans="1:81" ht="15" thickBo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</row>
    <row r="250" spans="1:81" ht="15" thickBo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</row>
    <row r="251" spans="1:81" ht="15" thickBo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</row>
    <row r="252" spans="1:81" ht="15" thickBo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</row>
    <row r="253" spans="1:81" ht="15" thickBo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</row>
    <row r="254" spans="1:81" ht="15" thickBo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</row>
    <row r="255" spans="1:81" ht="15" thickBo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</row>
    <row r="256" spans="1:81" ht="15" thickBo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</row>
    <row r="257" spans="1:81" ht="15" thickBo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</row>
    <row r="258" spans="1:81" ht="15" thickBo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</row>
    <row r="259" spans="1:81" ht="15" thickBo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</row>
    <row r="260" spans="1:81" ht="15" thickBo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</row>
    <row r="261" spans="1:81" ht="15" thickBo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</row>
    <row r="262" spans="1:81" ht="15" thickBo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</row>
    <row r="263" spans="1:81" ht="15" thickBo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</row>
    <row r="264" spans="1:81" ht="15" thickBo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</row>
    <row r="265" spans="1:81" ht="15" thickBo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</row>
    <row r="266" spans="1:81" ht="15" thickBo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</row>
    <row r="267" spans="1:81" ht="15" thickBo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</row>
    <row r="268" spans="1:81" ht="15" thickBo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</row>
    <row r="269" spans="1:81" ht="15" thickBo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</row>
    <row r="270" spans="1:81" ht="15" thickBo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</row>
    <row r="271" spans="1:81" ht="15" thickBo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</row>
    <row r="272" spans="1:81" ht="15" thickBo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</row>
    <row r="273" spans="1:81" ht="15" thickBo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</row>
    <row r="274" spans="1:81" ht="15" thickBo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</row>
    <row r="275" spans="1:81" ht="15" thickBo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</row>
    <row r="276" spans="1:81" ht="15" thickBo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</row>
    <row r="277" spans="1:81" ht="15" thickBo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</row>
    <row r="278" spans="1:81" ht="15" thickBo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</row>
    <row r="279" spans="1:81" ht="15" thickBo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</row>
    <row r="280" spans="1:81" ht="15" thickBo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</row>
    <row r="281" spans="1:81" ht="15" thickBo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</row>
    <row r="282" spans="1:81" ht="15" thickBo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</row>
    <row r="283" spans="1:81" ht="15" thickBo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</row>
    <row r="284" spans="1:81" ht="15" thickBo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</row>
    <row r="285" spans="1:81" ht="15" thickBo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</row>
    <row r="286" spans="1:81" ht="15" thickBo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</row>
    <row r="287" spans="1:81" ht="15" thickBo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</row>
    <row r="288" spans="1:81" ht="15" thickBo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</row>
    <row r="289" spans="1:81" ht="15" thickBo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</row>
    <row r="290" spans="1:81" ht="15" thickBo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</row>
    <row r="291" spans="1:81" ht="15" thickBo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</row>
    <row r="292" spans="1:81" ht="15" thickBo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</row>
    <row r="293" spans="1:81" ht="15" thickBo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</row>
    <row r="294" spans="1:81" ht="15" thickBo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</row>
    <row r="295" spans="1:81" ht="15" thickBo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</row>
    <row r="296" spans="1:81" ht="15" thickBo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</row>
    <row r="297" spans="1:81" ht="15" thickBo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</row>
    <row r="298" spans="1:81" ht="15" thickBo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</row>
    <row r="299" spans="1:81" ht="15" thickBo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</row>
    <row r="300" spans="1:81" ht="15" thickBo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</row>
    <row r="301" spans="1:81" ht="15" thickBo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</row>
    <row r="302" spans="1:81" ht="15" thickBo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</row>
    <row r="303" spans="1:81" ht="15" thickBo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</row>
    <row r="304" spans="1:81" ht="15" thickBo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</row>
    <row r="305" spans="1:81" ht="15" thickBo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</row>
    <row r="306" spans="1:81" ht="15" thickBo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</row>
    <row r="307" spans="1:81" ht="15" thickBo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</row>
    <row r="308" spans="1:81" ht="15" thickBo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</row>
    <row r="309" spans="1:81" ht="15" thickBo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</row>
    <row r="310" spans="1:81" ht="15" thickBo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</row>
    <row r="311" spans="1:81" ht="15" thickBo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</row>
    <row r="312" spans="1:81" ht="15" thickBo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</row>
    <row r="313" spans="1:81" ht="15" thickBo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</row>
    <row r="314" spans="1:81" ht="15" thickBo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</row>
    <row r="315" spans="1:81" ht="15" thickBo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</row>
    <row r="316" spans="1:81" ht="15" thickBo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</row>
    <row r="317" spans="1:81" ht="15" thickBo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</row>
    <row r="318" spans="1:81" ht="15" thickBo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</row>
    <row r="319" spans="1:81" ht="15" thickBo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</row>
    <row r="320" spans="1:81" ht="15" thickBo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</row>
    <row r="321" spans="1:81" ht="15" thickBo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</row>
    <row r="322" spans="1:81" ht="15" thickBo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</row>
    <row r="323" spans="1:81" ht="15" thickBo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</row>
    <row r="324" spans="1:81" ht="15" thickBo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</row>
    <row r="325" spans="1:81" ht="15" thickBo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</row>
    <row r="326" spans="1:81" ht="15" thickBo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</row>
    <row r="327" spans="1:81" ht="15" thickBo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</row>
    <row r="328" spans="1:81" ht="15" thickBo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</row>
    <row r="329" spans="1:81" ht="15" thickBo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</row>
    <row r="330" spans="1:81" ht="15" thickBo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</row>
    <row r="331" spans="1:81" ht="15" thickBo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</row>
    <row r="332" spans="1:81" ht="15" thickBo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</row>
    <row r="333" spans="1:81" ht="15" thickBo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</row>
    <row r="334" spans="1:81" ht="15" thickBo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</row>
    <row r="335" spans="1:81" ht="15" thickBo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</row>
    <row r="336" spans="1:81" ht="15" thickBo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</row>
    <row r="337" spans="1:81" ht="15" thickBo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</row>
    <row r="338" spans="1:81" ht="15" thickBo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</row>
    <row r="339" spans="1:81" ht="15" thickBo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</row>
    <row r="340" spans="1:81" ht="15" thickBo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</row>
    <row r="341" spans="1:81" ht="15" thickBo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</row>
    <row r="342" spans="1:81" ht="15" thickBo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</row>
    <row r="343" spans="1:81" ht="15" thickBo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</row>
    <row r="344" spans="1:81" ht="15" thickBo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</row>
    <row r="345" spans="1:81" ht="15" thickBo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</row>
    <row r="346" spans="1:81" ht="15" thickBo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</row>
    <row r="347" spans="1:81" ht="15" thickBo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</row>
    <row r="348" spans="1:81" ht="15" thickBo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</row>
    <row r="349" spans="1:81" ht="15" thickBo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</row>
    <row r="350" spans="1:81" ht="15" thickBo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</row>
    <row r="351" spans="1:81" ht="15" thickBo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</row>
    <row r="352" spans="1:81" ht="15" thickBo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</row>
    <row r="353" spans="1:81" ht="15" thickBo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</row>
    <row r="354" spans="1:81" ht="15" thickBo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</row>
    <row r="355" spans="1:81" ht="15" thickBo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</row>
    <row r="356" spans="1:81" ht="15" thickBo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</row>
    <row r="357" spans="1:81" ht="15" thickBo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</row>
    <row r="358" spans="1:81" ht="15" thickBo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</row>
    <row r="359" spans="1:81" ht="15" thickBo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</row>
    <row r="360" spans="1:81" ht="15" thickBo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</row>
    <row r="361" spans="1:81" ht="15" thickBo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</row>
    <row r="362" spans="1:81" ht="15" thickBo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</row>
    <row r="363" spans="1:81" ht="15" thickBo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</row>
    <row r="364" spans="1:81" ht="15" thickBo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</row>
    <row r="365" spans="1:81" ht="15" thickBo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</row>
    <row r="366" spans="1:81" ht="15" thickBo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</row>
    <row r="367" spans="1:81" ht="15" thickBo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</row>
    <row r="368" spans="1:81" ht="15" thickBo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</row>
    <row r="369" spans="1:81" ht="15" thickBo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</row>
    <row r="370" spans="1:81" ht="15" thickBo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</row>
    <row r="371" spans="1:81" ht="15" thickBo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</row>
    <row r="372" spans="1:81" ht="15" thickBo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</row>
    <row r="373" spans="1:81" ht="15" thickBo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</row>
    <row r="374" spans="1:81" ht="15" thickBo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</row>
    <row r="375" spans="1:81" ht="15" thickBo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</row>
    <row r="376" spans="1:81" ht="15" thickBo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</row>
    <row r="377" spans="1:81" ht="15" thickBo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</row>
    <row r="378" spans="1:81" ht="15" thickBo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</row>
    <row r="379" spans="1:81" ht="15" thickBo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</row>
    <row r="380" spans="1:81" ht="15" thickBo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</row>
    <row r="381" spans="1:81" ht="15" thickBo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</row>
    <row r="382" spans="1:81" ht="15" thickBo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</row>
    <row r="383" spans="1:81" ht="15" thickBo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</row>
    <row r="384" spans="1:81" ht="15" thickBo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</row>
    <row r="385" spans="1:81" ht="15" thickBo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</row>
    <row r="386" spans="1:81" ht="15" thickBo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</row>
    <row r="387" spans="1:81" ht="15" thickBo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</row>
    <row r="388" spans="1:81" ht="15" thickBo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</row>
    <row r="389" spans="1:81" ht="15" thickBo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</row>
    <row r="390" spans="1:81" ht="15" thickBo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</row>
    <row r="391" spans="1:81" ht="15" thickBo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</row>
    <row r="392" spans="1:81" ht="15" thickBo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</row>
    <row r="393" spans="1:81" ht="15" thickBo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</row>
    <row r="394" spans="1:81" ht="15" thickBo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</row>
    <row r="395" spans="1:81" ht="15" thickBo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</row>
    <row r="396" spans="1:81" ht="15" thickBo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</row>
    <row r="397" spans="1:81" ht="15" thickBo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</row>
    <row r="398" spans="1:81" ht="15" thickBo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</row>
    <row r="399" spans="1:81" ht="15" thickBo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</row>
    <row r="400" spans="1:81" ht="15" thickBo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</row>
    <row r="401" spans="1:81" ht="15" thickBo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</row>
    <row r="402" spans="1:81" ht="15" thickBo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</row>
    <row r="403" spans="1:81" ht="15" thickBo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</row>
    <row r="404" spans="1:81" ht="15" thickBo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</row>
    <row r="405" spans="1:81" ht="15" thickBo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</row>
    <row r="406" spans="1:81" ht="15" thickBo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</row>
    <row r="407" spans="1:81" ht="15" thickBo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</row>
    <row r="408" spans="1:81" ht="15" thickBo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</row>
    <row r="409" spans="1:81" ht="15" thickBo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</row>
    <row r="410" spans="1:81" ht="15" thickBo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</row>
    <row r="411" spans="1:81" ht="15" thickBo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</row>
    <row r="412" spans="1:81" ht="15" thickBo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</row>
    <row r="413" spans="1:81" ht="15" thickBo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</row>
    <row r="414" spans="1:81" ht="15" thickBo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</row>
    <row r="415" spans="1:81" ht="15" thickBo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</row>
    <row r="416" spans="1:81" ht="15" thickBo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</row>
    <row r="417" spans="1:81" ht="15" thickBo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</row>
    <row r="418" spans="1:81" ht="15" thickBo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</row>
    <row r="419" spans="1:81" ht="15" thickBo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</row>
    <row r="420" spans="1:81" ht="15" thickBo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</row>
    <row r="421" spans="1:81" ht="15" thickBo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</row>
    <row r="422" spans="1:81" ht="15" thickBo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</row>
    <row r="423" spans="1:81" ht="15" thickBo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</row>
    <row r="424" spans="1:81" ht="15" thickBo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</row>
    <row r="425" spans="1:81" ht="15" thickBo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</row>
    <row r="426" spans="1:81" ht="15" thickBo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</row>
    <row r="427" spans="1:81" ht="15" thickBo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</row>
    <row r="428" spans="1:81" ht="15" thickBo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</row>
    <row r="429" spans="1:81" ht="15" thickBo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</row>
    <row r="430" spans="1:81" ht="15" thickBo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</row>
    <row r="431" spans="1:81" ht="15" thickBo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</row>
    <row r="432" spans="1:81" ht="15" thickBo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</row>
    <row r="433" spans="1:81" ht="15" thickBo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</row>
    <row r="434" spans="1:81" ht="15" thickBo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</row>
    <row r="435" spans="1:81" ht="15" thickBo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</row>
    <row r="436" spans="1:81" ht="15" thickBo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</row>
    <row r="437" spans="1:81" ht="15" thickBo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</row>
    <row r="438" spans="1:81" ht="15" thickBo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</row>
    <row r="439" spans="1:81" ht="15" thickBo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</row>
    <row r="440" spans="1:81" ht="15" thickBo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</row>
    <row r="441" spans="1:81" ht="15" thickBo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</row>
    <row r="442" spans="1:81" ht="15" thickBo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</row>
    <row r="443" spans="1:81" ht="15" thickBo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</row>
    <row r="444" spans="1:81" ht="15" thickBo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</row>
    <row r="445" spans="1:81" ht="15" thickBo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</row>
    <row r="446" spans="1:81" ht="15" thickBo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</row>
    <row r="447" spans="1:81" ht="15" thickBo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</row>
    <row r="448" spans="1:81" ht="15" thickBo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</row>
    <row r="449" spans="1:81" ht="15" thickBo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</row>
    <row r="450" spans="1:81" ht="15" thickBo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</row>
    <row r="451" spans="1:81" ht="15" thickBo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</row>
    <row r="452" spans="1:81" ht="15" thickBo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</row>
    <row r="453" spans="1:81" ht="15" thickBo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</row>
    <row r="454" spans="1:81" ht="15" thickBo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</row>
    <row r="455" spans="1:81" ht="15" thickBo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</row>
    <row r="456" spans="1:81" ht="15" thickBo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</row>
    <row r="457" spans="1:81" ht="15" thickBo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</row>
    <row r="458" spans="1:81" ht="15" thickBo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</row>
    <row r="459" spans="1:81" ht="15" thickBo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</row>
    <row r="460" spans="1:81" ht="15" thickBo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</row>
    <row r="461" spans="1:81" ht="15" thickBo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</row>
    <row r="462" spans="1:81" ht="15" thickBo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</row>
    <row r="463" spans="1:81" ht="15" thickBo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</row>
    <row r="464" spans="1:81" ht="15" thickBo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</row>
    <row r="465" spans="1:81" ht="15" thickBo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</row>
    <row r="466" spans="1:81" ht="15" thickBo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</row>
    <row r="467" spans="1:81" ht="15" thickBo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</row>
    <row r="468" spans="1:81" ht="15" thickBo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</row>
    <row r="469" spans="1:81" ht="15" thickBo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</row>
    <row r="470" spans="1:81" ht="15" thickBo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</row>
    <row r="471" spans="1:81" ht="15" thickBo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</row>
    <row r="472" spans="1:81" ht="15" thickBo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</row>
    <row r="473" spans="1:81" ht="15" thickBo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</row>
    <row r="474" spans="1:81" ht="15" thickBo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</row>
    <row r="475" spans="1:81" ht="15" thickBo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</row>
    <row r="476" spans="1:81" ht="15" thickBo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</row>
    <row r="477" spans="1:81" ht="15" thickBo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</row>
    <row r="478" spans="1:81" ht="15" thickBo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</row>
    <row r="479" spans="1:81" ht="15" thickBo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</row>
    <row r="480" spans="1:81" ht="15" thickBo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</row>
    <row r="481" spans="1:81" ht="15" thickBo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</row>
    <row r="482" spans="1:81" ht="15" thickBo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</row>
    <row r="483" spans="1:81" ht="15" thickBo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</row>
    <row r="484" spans="1:81" ht="15" thickBo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</row>
    <row r="485" spans="1:81" ht="15" thickBo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</row>
    <row r="486" spans="1:81" ht="15" thickBo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</row>
    <row r="487" spans="1:81" ht="15" thickBo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</row>
    <row r="488" spans="1:81" ht="15" thickBo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</row>
    <row r="489" spans="1:81" ht="15" thickBo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</row>
    <row r="490" spans="1:81" ht="15" thickBo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</row>
    <row r="491" spans="1:81" ht="15" thickBo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</row>
    <row r="492" spans="1:81" ht="15" thickBo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</row>
    <row r="493" spans="1:81" ht="15" thickBo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</row>
    <row r="494" spans="1:81" ht="15" thickBo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</row>
    <row r="495" spans="1:81" ht="15" thickBo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</row>
    <row r="496" spans="1:81" ht="15" thickBo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</row>
    <row r="497" spans="1:81" ht="15" thickBo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</row>
    <row r="498" spans="1:81" ht="15" thickBo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</row>
    <row r="499" spans="1:81" ht="15" thickBo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</row>
    <row r="500" spans="1:81" ht="15" thickBo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</row>
    <row r="501" spans="1:81" ht="15" thickBo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</row>
    <row r="502" spans="1:81" ht="15" thickBo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</row>
    <row r="503" spans="1:81" ht="15" thickBo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</row>
    <row r="504" spans="1:81" ht="15" thickBo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</row>
    <row r="505" spans="1:81" ht="15" thickBo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</row>
    <row r="506" spans="1:81" ht="15" thickBo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</row>
    <row r="507" spans="1:81" ht="15" thickBo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</row>
    <row r="508" spans="1:81" ht="15" thickBo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</row>
    <row r="509" spans="1:81" ht="15" thickBo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</row>
    <row r="510" spans="1:81" ht="15" thickBo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</row>
    <row r="511" spans="1:81" ht="15" thickBo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</row>
    <row r="512" spans="1:81" ht="15" thickBo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</row>
    <row r="513" spans="1:81" ht="15" thickBo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</row>
    <row r="514" spans="1:81" ht="15" thickBo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</row>
    <row r="515" spans="1:81" ht="15" thickBo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</row>
    <row r="516" spans="1:81" ht="15" thickBo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</row>
    <row r="517" spans="1:81" ht="15" thickBo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</row>
    <row r="518" spans="1:81" ht="15" thickBo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</row>
    <row r="519" spans="1:81" ht="15" thickBo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</row>
    <row r="520" spans="1:81" ht="15" thickBo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</row>
    <row r="521" spans="1:81" ht="15" thickBo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</row>
    <row r="522" spans="1:81" ht="15" thickBo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</row>
    <row r="523" spans="1:81" ht="15" thickBo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</row>
    <row r="524" spans="1:81" ht="15" thickBo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</row>
    <row r="525" spans="1:81" ht="15" thickBo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</row>
    <row r="526" spans="1:81" ht="15" thickBo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</row>
    <row r="527" spans="1:81" ht="15" thickBo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</row>
    <row r="528" spans="1:81" ht="15" thickBo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</row>
    <row r="529" spans="1:81" ht="15" thickBo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</row>
    <row r="530" spans="1:81" ht="15" thickBo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</row>
    <row r="531" spans="1:81" ht="15" thickBo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</row>
    <row r="532" spans="1:81" ht="15" thickBo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</row>
    <row r="533" spans="1:81" ht="15" thickBo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</row>
    <row r="534" spans="1:81" ht="15" thickBo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</row>
    <row r="535" spans="1:81" ht="15" thickBo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</row>
    <row r="536" spans="1:81" ht="15" thickBo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</row>
    <row r="537" spans="1:81" ht="15" thickBo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</row>
    <row r="538" spans="1:81" ht="15" thickBo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</row>
    <row r="539" spans="1:81" ht="15" thickBo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</row>
    <row r="540" spans="1:81" ht="15" thickBo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</row>
    <row r="541" spans="1:81" ht="15" thickBo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</row>
    <row r="542" spans="1:81" ht="15" thickBo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</row>
    <row r="543" spans="1:81" ht="15" thickBo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</row>
    <row r="544" spans="1:81" ht="15" thickBo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</row>
    <row r="545" spans="1:81" ht="15" thickBo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</row>
    <row r="546" spans="1:81" ht="15" thickBo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</row>
    <row r="547" spans="1:81" ht="15" thickBo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</row>
    <row r="548" spans="1:81" ht="15" thickBo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</row>
    <row r="549" spans="1:81" ht="15" thickBo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</row>
    <row r="550" spans="1:81" ht="15" thickBo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</row>
    <row r="551" spans="1:81" ht="15" thickBo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</row>
    <row r="552" spans="1:81" ht="15" thickBo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</row>
    <row r="553" spans="1:81" ht="15" thickBo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</row>
    <row r="554" spans="1:81" ht="15" thickBo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</row>
    <row r="555" spans="1:81" ht="15" thickBo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</row>
    <row r="556" spans="1:81" ht="15" thickBo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</row>
    <row r="557" spans="1:81" ht="15" thickBo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</row>
    <row r="558" spans="1:81" ht="15" thickBo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</row>
    <row r="559" spans="1:81" ht="15" thickBo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</row>
    <row r="560" spans="1:81" ht="15" thickBo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</row>
    <row r="561" spans="1:81" ht="15" thickBo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</row>
    <row r="562" spans="1:81" ht="15" thickBo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</row>
    <row r="563" spans="1:81" ht="15" thickBo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</row>
    <row r="564" spans="1:81" ht="15" thickBo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</row>
    <row r="565" spans="1:81" ht="15" thickBo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</row>
    <row r="566" spans="1:81" ht="15" thickBo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</row>
    <row r="567" spans="1:81" ht="15" thickBo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</row>
    <row r="568" spans="1:81" ht="15" thickBo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</row>
    <row r="569" spans="1:81" ht="15" thickBo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</row>
    <row r="570" spans="1:81" ht="15" thickBo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</row>
    <row r="571" spans="1:81" ht="15" thickBo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</row>
    <row r="572" spans="1:81" ht="15" thickBo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</row>
    <row r="573" spans="1:81" ht="15" thickBo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</row>
    <row r="574" spans="1:81" ht="15" thickBo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</row>
    <row r="575" spans="1:81" ht="15" thickBo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</row>
    <row r="576" spans="1:81" ht="15" thickBo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</row>
    <row r="577" spans="1:81" ht="15" thickBo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</row>
    <row r="578" spans="1:81" ht="15" thickBo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</row>
    <row r="579" spans="1:81" ht="15" thickBo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</row>
    <row r="580" spans="1:81" ht="15" thickBo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</row>
    <row r="581" spans="1:81" ht="15" thickBo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</row>
    <row r="582" spans="1:81" ht="15" thickBo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</row>
    <row r="583" spans="1:81" ht="15" thickBo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</row>
    <row r="584" spans="1:81" ht="15" thickBo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</row>
    <row r="585" spans="1:81" ht="15" thickBo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</row>
    <row r="586" spans="1:81" ht="15" thickBo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</row>
    <row r="587" spans="1:81" ht="15" thickBo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</row>
    <row r="588" spans="1:81" ht="15" thickBo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</row>
    <row r="589" spans="1:81" ht="15" thickBo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</row>
    <row r="590" spans="1:81" ht="15" thickBo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</row>
    <row r="591" spans="1:81" ht="15" thickBo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</row>
    <row r="592" spans="1:81" ht="15" thickBo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</row>
    <row r="593" spans="1:81" ht="15" thickBo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</row>
    <row r="594" spans="1:81" ht="15" thickBo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</row>
    <row r="595" spans="1:81" ht="15" thickBo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</row>
    <row r="596" spans="1:81" ht="15" thickBo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</row>
    <row r="597" spans="1:81" ht="15" thickBo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</row>
    <row r="598" spans="1:81" ht="15" thickBo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</row>
    <row r="599" spans="1:81" ht="15" thickBo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</row>
    <row r="600" spans="1:81" ht="15" thickBo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</row>
    <row r="601" spans="1:81" ht="15" thickBo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</row>
    <row r="602" spans="1:81" ht="15" thickBo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</row>
    <row r="603" spans="1:81" ht="15" thickBo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</row>
    <row r="604" spans="1:81" ht="15" thickBo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</row>
    <row r="605" spans="1:81" ht="15" thickBo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</row>
    <row r="606" spans="1:81" ht="15" thickBo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</row>
  </sheetData>
  <mergeCells count="473">
    <mergeCell ref="A1:BM3"/>
    <mergeCell ref="A4:B5"/>
    <mergeCell ref="C4:C5"/>
    <mergeCell ref="D4:E4"/>
    <mergeCell ref="F4:G4"/>
    <mergeCell ref="H4:I4"/>
    <mergeCell ref="J4:K4"/>
    <mergeCell ref="L4:M4"/>
    <mergeCell ref="N4:O4"/>
    <mergeCell ref="P4:Q4"/>
    <mergeCell ref="BH4:BI4"/>
    <mergeCell ref="BJ4:BK4"/>
    <mergeCell ref="BL4:BM4"/>
    <mergeCell ref="AP4:AQ4"/>
    <mergeCell ref="AR4:AS4"/>
    <mergeCell ref="AT4:AU4"/>
    <mergeCell ref="AV4:AW4"/>
    <mergeCell ref="AX4:AY4"/>
    <mergeCell ref="AZ4:BA4"/>
    <mergeCell ref="D5:E5"/>
    <mergeCell ref="F5:G5"/>
    <mergeCell ref="H5:I5"/>
    <mergeCell ref="J5:K5"/>
    <mergeCell ref="L5:M5"/>
    <mergeCell ref="R4:S4"/>
    <mergeCell ref="T4:U4"/>
    <mergeCell ref="V4:W4"/>
    <mergeCell ref="X4:Y4"/>
    <mergeCell ref="Z4:AA4"/>
    <mergeCell ref="AB4:AC4"/>
    <mergeCell ref="AF5:AG5"/>
    <mergeCell ref="AH5:AI5"/>
    <mergeCell ref="AJ5:AK5"/>
    <mergeCell ref="R5:S5"/>
    <mergeCell ref="T5:U5"/>
    <mergeCell ref="V5:W5"/>
    <mergeCell ref="AB5:AC5"/>
    <mergeCell ref="AD5:AE5"/>
    <mergeCell ref="X5:Y5"/>
    <mergeCell ref="Z5:AA5"/>
    <mergeCell ref="BB4:BC4"/>
    <mergeCell ref="BD4:BE4"/>
    <mergeCell ref="BF4:BG4"/>
    <mergeCell ref="AD4:AE4"/>
    <mergeCell ref="AF4:AG4"/>
    <mergeCell ref="AH4:AI4"/>
    <mergeCell ref="AJ4:AK4"/>
    <mergeCell ref="AL4:AM4"/>
    <mergeCell ref="AN4:AO4"/>
    <mergeCell ref="BL5:BM5"/>
    <mergeCell ref="A6:A7"/>
    <mergeCell ref="B6:B8"/>
    <mergeCell ref="C6:C8"/>
    <mergeCell ref="D8:E8"/>
    <mergeCell ref="F8:G8"/>
    <mergeCell ref="H8:I8"/>
    <mergeCell ref="J8:K8"/>
    <mergeCell ref="L8:M8"/>
    <mergeCell ref="N8:O8"/>
    <mergeCell ref="AZ5:BA5"/>
    <mergeCell ref="BB5:BC5"/>
    <mergeCell ref="BD5:BE5"/>
    <mergeCell ref="BF5:BG5"/>
    <mergeCell ref="BH5:BI5"/>
    <mergeCell ref="BJ5:BK5"/>
    <mergeCell ref="AN5:AO5"/>
    <mergeCell ref="AP5:AQ5"/>
    <mergeCell ref="AR5:AS5"/>
    <mergeCell ref="AT5:AU5"/>
    <mergeCell ref="AV5:AW5"/>
    <mergeCell ref="AX5:AY5"/>
    <mergeCell ref="N5:O5"/>
    <mergeCell ref="AL5:AM5"/>
    <mergeCell ref="AF8:AG8"/>
    <mergeCell ref="AH8:AI8"/>
    <mergeCell ref="AJ8:AK8"/>
    <mergeCell ref="AL8:AM8"/>
    <mergeCell ref="P8:Q8"/>
    <mergeCell ref="R8:S8"/>
    <mergeCell ref="T8:U8"/>
    <mergeCell ref="V8:W8"/>
    <mergeCell ref="X8:Y8"/>
    <mergeCell ref="Z8:AA8"/>
    <mergeCell ref="AD8:AE8"/>
    <mergeCell ref="P5:Q5"/>
    <mergeCell ref="BL8:BM8"/>
    <mergeCell ref="A9:A10"/>
    <mergeCell ref="B9:B11"/>
    <mergeCell ref="C9:C11"/>
    <mergeCell ref="D11:E11"/>
    <mergeCell ref="F11:G11"/>
    <mergeCell ref="H11:I11"/>
    <mergeCell ref="J11:K11"/>
    <mergeCell ref="L11:M11"/>
    <mergeCell ref="N11:O11"/>
    <mergeCell ref="AZ8:BA8"/>
    <mergeCell ref="BB8:BC8"/>
    <mergeCell ref="BD8:BE8"/>
    <mergeCell ref="BF8:BG8"/>
    <mergeCell ref="BH8:BI8"/>
    <mergeCell ref="BJ8:BK8"/>
    <mergeCell ref="AN8:AO8"/>
    <mergeCell ref="AP8:AQ8"/>
    <mergeCell ref="AR8:AS8"/>
    <mergeCell ref="AT8:AU8"/>
    <mergeCell ref="AV8:AW8"/>
    <mergeCell ref="AX8:AY8"/>
    <mergeCell ref="AB8:AC8"/>
    <mergeCell ref="AF11:AG11"/>
    <mergeCell ref="AH11:AI11"/>
    <mergeCell ref="AJ11:AK11"/>
    <mergeCell ref="AL11:AM11"/>
    <mergeCell ref="P11:Q11"/>
    <mergeCell ref="R11:S11"/>
    <mergeCell ref="T11:U11"/>
    <mergeCell ref="V11:W11"/>
    <mergeCell ref="X11:Y11"/>
    <mergeCell ref="Z11:AA11"/>
    <mergeCell ref="BL11:BM11"/>
    <mergeCell ref="A12:A13"/>
    <mergeCell ref="B12:B14"/>
    <mergeCell ref="C12:C14"/>
    <mergeCell ref="D14:E14"/>
    <mergeCell ref="F14:G14"/>
    <mergeCell ref="H14:I14"/>
    <mergeCell ref="J14:K14"/>
    <mergeCell ref="L14:M14"/>
    <mergeCell ref="N14:O14"/>
    <mergeCell ref="AZ11:BA11"/>
    <mergeCell ref="BB11:BC11"/>
    <mergeCell ref="BD11:BE11"/>
    <mergeCell ref="BF11:BG11"/>
    <mergeCell ref="BH11:BI11"/>
    <mergeCell ref="BJ11:BK11"/>
    <mergeCell ref="AN11:AO11"/>
    <mergeCell ref="AP11:AQ11"/>
    <mergeCell ref="AR11:AS11"/>
    <mergeCell ref="AT11:AU11"/>
    <mergeCell ref="AV11:AW11"/>
    <mergeCell ref="AX11:AY11"/>
    <mergeCell ref="AB11:AC11"/>
    <mergeCell ref="AD11:AE11"/>
    <mergeCell ref="AF14:AG14"/>
    <mergeCell ref="AH14:AI14"/>
    <mergeCell ref="AJ14:AK14"/>
    <mergeCell ref="AL14:AM14"/>
    <mergeCell ref="P14:Q14"/>
    <mergeCell ref="R14:S14"/>
    <mergeCell ref="T14:U14"/>
    <mergeCell ref="V14:W14"/>
    <mergeCell ref="X14:Y14"/>
    <mergeCell ref="Z14:AA14"/>
    <mergeCell ref="BL14:BM14"/>
    <mergeCell ref="A15:A16"/>
    <mergeCell ref="B15:B17"/>
    <mergeCell ref="C15:C17"/>
    <mergeCell ref="D17:E17"/>
    <mergeCell ref="F17:G17"/>
    <mergeCell ref="H17:I17"/>
    <mergeCell ref="J17:K17"/>
    <mergeCell ref="L17:M17"/>
    <mergeCell ref="N17:O17"/>
    <mergeCell ref="AZ14:BA14"/>
    <mergeCell ref="BB14:BC14"/>
    <mergeCell ref="BD14:BE14"/>
    <mergeCell ref="BF14:BG14"/>
    <mergeCell ref="BH14:BI14"/>
    <mergeCell ref="BJ14:BK14"/>
    <mergeCell ref="AN14:AO14"/>
    <mergeCell ref="AP14:AQ14"/>
    <mergeCell ref="AR14:AS14"/>
    <mergeCell ref="AT14:AU14"/>
    <mergeCell ref="AV14:AW14"/>
    <mergeCell ref="AX14:AY14"/>
    <mergeCell ref="AB14:AC14"/>
    <mergeCell ref="AD14:AE14"/>
    <mergeCell ref="AF17:AG17"/>
    <mergeCell ref="AH17:AI17"/>
    <mergeCell ref="AJ17:AK17"/>
    <mergeCell ref="AL17:AM17"/>
    <mergeCell ref="P17:Q17"/>
    <mergeCell ref="R17:S17"/>
    <mergeCell ref="T17:U17"/>
    <mergeCell ref="V17:W17"/>
    <mergeCell ref="X17:Y17"/>
    <mergeCell ref="Z17:AA17"/>
    <mergeCell ref="BL17:BM17"/>
    <mergeCell ref="A18:A19"/>
    <mergeCell ref="B18:B20"/>
    <mergeCell ref="C18:C20"/>
    <mergeCell ref="D20:E20"/>
    <mergeCell ref="F20:G20"/>
    <mergeCell ref="H20:I20"/>
    <mergeCell ref="J20:K20"/>
    <mergeCell ref="L20:M20"/>
    <mergeCell ref="N20:O20"/>
    <mergeCell ref="AZ17:BA17"/>
    <mergeCell ref="BB17:BC17"/>
    <mergeCell ref="BD17:BE17"/>
    <mergeCell ref="BF17:BG17"/>
    <mergeCell ref="BH17:BI17"/>
    <mergeCell ref="BJ17:BK17"/>
    <mergeCell ref="AN17:AO17"/>
    <mergeCell ref="AP17:AQ17"/>
    <mergeCell ref="AR17:AS17"/>
    <mergeCell ref="AT17:AU17"/>
    <mergeCell ref="AV17:AW17"/>
    <mergeCell ref="AX17:AY17"/>
    <mergeCell ref="AB17:AC17"/>
    <mergeCell ref="AD17:AE17"/>
    <mergeCell ref="AF20:AG20"/>
    <mergeCell ref="AH20:AI20"/>
    <mergeCell ref="AJ20:AK20"/>
    <mergeCell ref="AL20:AM20"/>
    <mergeCell ref="P20:Q20"/>
    <mergeCell ref="R20:S20"/>
    <mergeCell ref="T20:U20"/>
    <mergeCell ref="V20:W20"/>
    <mergeCell ref="X20:Y20"/>
    <mergeCell ref="Z20:AA20"/>
    <mergeCell ref="BL20:BM20"/>
    <mergeCell ref="A21:A22"/>
    <mergeCell ref="B21:B23"/>
    <mergeCell ref="C21:C23"/>
    <mergeCell ref="D23:E23"/>
    <mergeCell ref="F23:G23"/>
    <mergeCell ref="H23:I23"/>
    <mergeCell ref="J23:K23"/>
    <mergeCell ref="L23:M23"/>
    <mergeCell ref="N23:O23"/>
    <mergeCell ref="AZ20:BA20"/>
    <mergeCell ref="BB20:BC20"/>
    <mergeCell ref="BD20:BE20"/>
    <mergeCell ref="BF20:BG20"/>
    <mergeCell ref="BH20:BI20"/>
    <mergeCell ref="BJ20:BK20"/>
    <mergeCell ref="AN20:AO20"/>
    <mergeCell ref="AP20:AQ20"/>
    <mergeCell ref="AR20:AS20"/>
    <mergeCell ref="AT20:AU20"/>
    <mergeCell ref="AV20:AW20"/>
    <mergeCell ref="AX20:AY20"/>
    <mergeCell ref="AB20:AC20"/>
    <mergeCell ref="AD20:AE20"/>
    <mergeCell ref="AF23:AG23"/>
    <mergeCell ref="AH23:AI23"/>
    <mergeCell ref="AJ23:AK23"/>
    <mergeCell ref="AL23:AM23"/>
    <mergeCell ref="P23:Q23"/>
    <mergeCell ref="R23:S23"/>
    <mergeCell ref="T23:U23"/>
    <mergeCell ref="V23:W23"/>
    <mergeCell ref="X23:Y23"/>
    <mergeCell ref="Z23:AA23"/>
    <mergeCell ref="BL23:BM23"/>
    <mergeCell ref="A24:A25"/>
    <mergeCell ref="B24:B26"/>
    <mergeCell ref="C24:C26"/>
    <mergeCell ref="D26:E26"/>
    <mergeCell ref="F26:G26"/>
    <mergeCell ref="H26:I26"/>
    <mergeCell ref="J26:K26"/>
    <mergeCell ref="L26:M26"/>
    <mergeCell ref="N26:O26"/>
    <mergeCell ref="AZ23:BA23"/>
    <mergeCell ref="BB23:BC23"/>
    <mergeCell ref="BD23:BE23"/>
    <mergeCell ref="BF23:BG23"/>
    <mergeCell ref="BH23:BI23"/>
    <mergeCell ref="BJ23:BK23"/>
    <mergeCell ref="AN23:AO23"/>
    <mergeCell ref="AP23:AQ23"/>
    <mergeCell ref="AR23:AS23"/>
    <mergeCell ref="AT23:AU23"/>
    <mergeCell ref="AV23:AW23"/>
    <mergeCell ref="AX23:AY23"/>
    <mergeCell ref="AB23:AC23"/>
    <mergeCell ref="AD23:AE23"/>
    <mergeCell ref="AF26:AG26"/>
    <mergeCell ref="AH26:AI26"/>
    <mergeCell ref="AJ26:AK26"/>
    <mergeCell ref="AL26:AM26"/>
    <mergeCell ref="P26:Q26"/>
    <mergeCell ref="R26:S26"/>
    <mergeCell ref="T26:U26"/>
    <mergeCell ref="V26:W26"/>
    <mergeCell ref="X26:Y26"/>
    <mergeCell ref="Z26:AA26"/>
    <mergeCell ref="BL26:BM26"/>
    <mergeCell ref="A27:A28"/>
    <mergeCell ref="B27:B29"/>
    <mergeCell ref="C27:C29"/>
    <mergeCell ref="D29:E29"/>
    <mergeCell ref="F29:G29"/>
    <mergeCell ref="H29:I29"/>
    <mergeCell ref="J29:K29"/>
    <mergeCell ref="L29:M29"/>
    <mergeCell ref="N29:O29"/>
    <mergeCell ref="AZ26:BA26"/>
    <mergeCell ref="BB26:BC26"/>
    <mergeCell ref="BD26:BE26"/>
    <mergeCell ref="BF26:BG26"/>
    <mergeCell ref="BH26:BI26"/>
    <mergeCell ref="BJ26:BK26"/>
    <mergeCell ref="AN26:AO26"/>
    <mergeCell ref="AP26:AQ26"/>
    <mergeCell ref="AR26:AS26"/>
    <mergeCell ref="AT26:AU26"/>
    <mergeCell ref="AV26:AW26"/>
    <mergeCell ref="AX26:AY26"/>
    <mergeCell ref="AB26:AC26"/>
    <mergeCell ref="AD26:AE26"/>
    <mergeCell ref="AF29:AG29"/>
    <mergeCell ref="AH29:AI29"/>
    <mergeCell ref="AJ29:AK29"/>
    <mergeCell ref="AL29:AM29"/>
    <mergeCell ref="P29:Q29"/>
    <mergeCell ref="R29:S29"/>
    <mergeCell ref="T29:U29"/>
    <mergeCell ref="V29:W29"/>
    <mergeCell ref="X29:Y29"/>
    <mergeCell ref="Z29:AA29"/>
    <mergeCell ref="BL29:BM29"/>
    <mergeCell ref="A30:A31"/>
    <mergeCell ref="B30:B32"/>
    <mergeCell ref="C30:C32"/>
    <mergeCell ref="D32:E32"/>
    <mergeCell ref="F32:G32"/>
    <mergeCell ref="H32:I32"/>
    <mergeCell ref="J32:K32"/>
    <mergeCell ref="L32:M32"/>
    <mergeCell ref="N32:O32"/>
    <mergeCell ref="AZ29:BA29"/>
    <mergeCell ref="BB29:BC29"/>
    <mergeCell ref="BD29:BE29"/>
    <mergeCell ref="BF29:BG29"/>
    <mergeCell ref="BH29:BI29"/>
    <mergeCell ref="BJ29:BK29"/>
    <mergeCell ref="AN29:AO29"/>
    <mergeCell ref="AP29:AQ29"/>
    <mergeCell ref="AR29:AS29"/>
    <mergeCell ref="AT29:AU29"/>
    <mergeCell ref="AV29:AW29"/>
    <mergeCell ref="AX29:AY29"/>
    <mergeCell ref="AB29:AC29"/>
    <mergeCell ref="AD29:AE29"/>
    <mergeCell ref="AF32:AG32"/>
    <mergeCell ref="AH32:AI32"/>
    <mergeCell ref="AJ32:AK32"/>
    <mergeCell ref="AL32:AM32"/>
    <mergeCell ref="P32:Q32"/>
    <mergeCell ref="R32:S32"/>
    <mergeCell ref="T32:U32"/>
    <mergeCell ref="V32:W32"/>
    <mergeCell ref="X32:Y32"/>
    <mergeCell ref="Z32:AA32"/>
    <mergeCell ref="BL32:BM32"/>
    <mergeCell ref="A33:A34"/>
    <mergeCell ref="B33:B35"/>
    <mergeCell ref="C33:C35"/>
    <mergeCell ref="D35:E35"/>
    <mergeCell ref="F35:G35"/>
    <mergeCell ref="H35:I35"/>
    <mergeCell ref="J35:K35"/>
    <mergeCell ref="L35:M35"/>
    <mergeCell ref="N35:O35"/>
    <mergeCell ref="AZ32:BA32"/>
    <mergeCell ref="BB32:BC32"/>
    <mergeCell ref="BD32:BE32"/>
    <mergeCell ref="BF32:BG32"/>
    <mergeCell ref="BH32:BI32"/>
    <mergeCell ref="BJ32:BK32"/>
    <mergeCell ref="AN32:AO32"/>
    <mergeCell ref="AP32:AQ32"/>
    <mergeCell ref="AR32:AS32"/>
    <mergeCell ref="AT32:AU32"/>
    <mergeCell ref="AV32:AW32"/>
    <mergeCell ref="AX32:AY32"/>
    <mergeCell ref="AB32:AC32"/>
    <mergeCell ref="AD32:AE32"/>
    <mergeCell ref="AF35:AG35"/>
    <mergeCell ref="AH35:AI35"/>
    <mergeCell ref="AJ35:AK35"/>
    <mergeCell ref="AL35:AM35"/>
    <mergeCell ref="P35:Q35"/>
    <mergeCell ref="R35:S35"/>
    <mergeCell ref="T35:U35"/>
    <mergeCell ref="V35:W35"/>
    <mergeCell ref="X35:Y35"/>
    <mergeCell ref="Z35:AA35"/>
    <mergeCell ref="BL35:BM35"/>
    <mergeCell ref="A36:A37"/>
    <mergeCell ref="B36:B38"/>
    <mergeCell ref="C36:C38"/>
    <mergeCell ref="D38:E38"/>
    <mergeCell ref="F38:G38"/>
    <mergeCell ref="H38:I38"/>
    <mergeCell ref="J38:K38"/>
    <mergeCell ref="L38:M38"/>
    <mergeCell ref="N38:O38"/>
    <mergeCell ref="AZ35:BA35"/>
    <mergeCell ref="BB35:BC35"/>
    <mergeCell ref="BD35:BE35"/>
    <mergeCell ref="BF35:BG35"/>
    <mergeCell ref="BH35:BI35"/>
    <mergeCell ref="BJ35:BK35"/>
    <mergeCell ref="AN35:AO35"/>
    <mergeCell ref="AP35:AQ35"/>
    <mergeCell ref="AR35:AS35"/>
    <mergeCell ref="AT35:AU35"/>
    <mergeCell ref="AV35:AW35"/>
    <mergeCell ref="AX35:AY35"/>
    <mergeCell ref="AB35:AC35"/>
    <mergeCell ref="AD35:AE35"/>
    <mergeCell ref="AF38:AG38"/>
    <mergeCell ref="AH38:AI38"/>
    <mergeCell ref="AJ38:AK38"/>
    <mergeCell ref="AL38:AM38"/>
    <mergeCell ref="P38:Q38"/>
    <mergeCell ref="R38:S38"/>
    <mergeCell ref="T38:U38"/>
    <mergeCell ref="V38:W38"/>
    <mergeCell ref="X38:Y38"/>
    <mergeCell ref="Z38:AA38"/>
    <mergeCell ref="BL38:BM38"/>
    <mergeCell ref="A39:A40"/>
    <mergeCell ref="B39:B41"/>
    <mergeCell ref="C39:C41"/>
    <mergeCell ref="D41:E41"/>
    <mergeCell ref="F41:G41"/>
    <mergeCell ref="H41:I41"/>
    <mergeCell ref="J41:K41"/>
    <mergeCell ref="L41:M41"/>
    <mergeCell ref="N41:O41"/>
    <mergeCell ref="AZ38:BA38"/>
    <mergeCell ref="BB38:BC38"/>
    <mergeCell ref="BD38:BE38"/>
    <mergeCell ref="BF38:BG38"/>
    <mergeCell ref="BH38:BI38"/>
    <mergeCell ref="BJ38:BK38"/>
    <mergeCell ref="AN38:AO38"/>
    <mergeCell ref="AP38:AQ38"/>
    <mergeCell ref="AR38:AS38"/>
    <mergeCell ref="AT38:AU38"/>
    <mergeCell ref="AV38:AW38"/>
    <mergeCell ref="AX38:AY38"/>
    <mergeCell ref="AB38:AC38"/>
    <mergeCell ref="AD38:AE38"/>
    <mergeCell ref="AB41:AC41"/>
    <mergeCell ref="AD41:AE41"/>
    <mergeCell ref="AF41:AG41"/>
    <mergeCell ref="AH41:AI41"/>
    <mergeCell ref="AJ41:AK41"/>
    <mergeCell ref="AL41:AM41"/>
    <mergeCell ref="P41:Q41"/>
    <mergeCell ref="R41:S41"/>
    <mergeCell ref="T41:U41"/>
    <mergeCell ref="V41:W41"/>
    <mergeCell ref="X41:Y41"/>
    <mergeCell ref="Z41:AA41"/>
    <mergeCell ref="BL41:BM41"/>
    <mergeCell ref="AZ41:BA41"/>
    <mergeCell ref="BB41:BC41"/>
    <mergeCell ref="BD41:BE41"/>
    <mergeCell ref="BF41:BG41"/>
    <mergeCell ref="BH41:BI41"/>
    <mergeCell ref="BJ41:BK41"/>
    <mergeCell ref="AN41:AO41"/>
    <mergeCell ref="AP41:AQ41"/>
    <mergeCell ref="AR41:AS41"/>
    <mergeCell ref="AT41:AU41"/>
    <mergeCell ref="AV41:AW41"/>
    <mergeCell ref="AX41:AY4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2A68-92FD-4DA4-8EE0-97F8D39A7C06}">
  <dimension ref="B1:AH20"/>
  <sheetViews>
    <sheetView showZeros="0" topLeftCell="B1" zoomScaleNormal="100" workbookViewId="0">
      <selection activeCell="I23" sqref="I23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59765625" bestFit="1" customWidth="1"/>
    <col min="5" max="5" width="13" style="1" bestFit="1" customWidth="1"/>
    <col min="6" max="6" width="7.09765625" bestFit="1" customWidth="1"/>
    <col min="7" max="7" width="6" bestFit="1" customWidth="1"/>
    <col min="8" max="8" width="9" bestFit="1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style="9" bestFit="1" customWidth="1"/>
    <col min="28" max="28" width="11.59765625" customWidth="1"/>
    <col min="29" max="30" width="10.5" bestFit="1" customWidth="1"/>
    <col min="31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57">
        <v>1</v>
      </c>
      <c r="AB1" s="19" t="s">
        <v>10</v>
      </c>
      <c r="AC1" s="19" t="s">
        <v>11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3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4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4"/>
      <c r="AC4" s="1"/>
      <c r="AD4" s="16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5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5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6" ca="1" si="0">F6-AC6+10</f>
        <v>0</v>
      </c>
      <c r="AE6" s="7">
        <f t="shared" ref="AE6:AG16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5">
        <f t="shared" ref="AA7:AA18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18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5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5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5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5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5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5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5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5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cm="1">
        <f t="array" aca="1" ref="D16" ca="1">INDIRECT("'整月外場班表'!"&amp;"B"&amp;$AA16)</f>
        <v>0</v>
      </c>
      <c r="E16" s="7" cm="1">
        <f t="array" aca="1" ref="E16" ca="1">INDIRECT("'整月外場班表'!"&amp;"A"&amp;$AA16)</f>
        <v>0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5">
        <f t="shared" si="2"/>
        <v>36</v>
      </c>
      <c r="AB16" s="6" cm="1">
        <f t="array" aca="1" ref="AB16" ca="1">_xlfn.IFS(E16="外場兼職",D16&amp;"PT",E16&lt;&gt;"外場兼職",D16)</f>
        <v>0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5">
        <f t="shared" si="2"/>
        <v>39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ref="AD17" ca="1" si="9">F17-AC17+10</f>
        <v>0</v>
      </c>
      <c r="AE17" s="7">
        <f t="shared" ref="AE17" ca="1" si="10">G17-F17</f>
        <v>0</v>
      </c>
      <c r="AF17" s="7">
        <f t="shared" ref="AF17" ca="1" si="11">H17-G17</f>
        <v>0</v>
      </c>
      <c r="AG17" s="18">
        <f t="shared" ref="AG17" ca="1" si="12">I17-H17</f>
        <v>0</v>
      </c>
      <c r="AH17" s="20">
        <f t="shared" ca="1" si="3"/>
        <v>0</v>
      </c>
    </row>
    <row r="18" spans="2:34">
      <c r="B18" s="5" t="s">
        <v>9</v>
      </c>
      <c r="C18" s="6"/>
      <c r="D18" s="7" t="str" cm="1">
        <f t="array" aca="1" ref="D18" ca="1">INDIRECT("'整月外場班表'!"&amp;"B"&amp;$AA18)</f>
        <v>梁芷瑄</v>
      </c>
      <c r="E18" s="7" cm="1">
        <f t="array" aca="1" ref="E18" ca="1">INDIRECT("'整月外場班表'!"&amp;"A"&amp;$AA18)</f>
        <v>0</v>
      </c>
      <c r="F18" s="7" cm="1">
        <f t="array" aca="1" ref="F18" ca="1">INDIRECT("'整月外場班表'!"&amp;$AB$1&amp;$AA18)</f>
        <v>9</v>
      </c>
      <c r="G18" s="7" cm="1">
        <f t="array" aca="1" ref="G18" ca="1">INDIRECT("'整月外場班表'!"&amp;$AC$1&amp;$AA18)</f>
        <v>13</v>
      </c>
      <c r="H18" s="7" cm="1">
        <f t="array" aca="1" ref="H18" ca="1">INDIRECT("'整月外場班表'!"&amp;$AB$1&amp;AA18+1)</f>
        <v>14</v>
      </c>
      <c r="I18" s="7" cm="1">
        <f t="array" aca="1" ref="I18" ca="1">INDIRECT("'整月外場班表'!"&amp;$AC$1&amp;$AA18+1)</f>
        <v>18</v>
      </c>
      <c r="AA18" s="15">
        <f t="shared" si="2"/>
        <v>42</v>
      </c>
      <c r="AB18" s="6" t="str" cm="1">
        <f t="array" aca="1" ref="AB18" ca="1">_xlfn.IFS(E18="外場兼職",D18&amp;"PT",E18&lt;&gt;"外場兼職",D18)</f>
        <v>梁芷瑄</v>
      </c>
      <c r="AC18" s="18">
        <v>10</v>
      </c>
      <c r="AD18" s="7">
        <f t="shared" ref="AD18" ca="1" si="13">F18-AC18+10</f>
        <v>9</v>
      </c>
      <c r="AE18" s="7">
        <f t="shared" ref="AE18" ca="1" si="14">G18-F18</f>
        <v>4</v>
      </c>
      <c r="AF18" s="7">
        <f t="shared" ref="AF18" ca="1" si="15">H18-G18</f>
        <v>1</v>
      </c>
      <c r="AG18" s="18">
        <f t="shared" ref="AG18" ca="1" si="16">I18-H18</f>
        <v>4</v>
      </c>
      <c r="AH18" s="20">
        <f t="shared" ref="AH18" ca="1" si="17">AE18+AG18</f>
        <v>8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C982D-EA6B-4DAC-B9DB-2242B6E60040}">
  <dimension ref="B1:AH20"/>
  <sheetViews>
    <sheetView showZeros="0" topLeftCell="B1" workbookViewId="0">
      <selection activeCell="F19" sqref="F19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59765625" bestFit="1" customWidth="1"/>
    <col min="5" max="5" width="13" style="1" bestFit="1" customWidth="1"/>
    <col min="6" max="6" width="6.59765625" bestFit="1" customWidth="1"/>
    <col min="7" max="7" width="6" bestFit="1" customWidth="1"/>
    <col min="8" max="8" width="9" bestFit="1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1" width="6" bestFit="1" customWidth="1"/>
    <col min="32" max="32" width="6.5" bestFit="1" customWidth="1"/>
    <col min="33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8">
        <v>2</v>
      </c>
      <c r="AB1" s="19" t="s">
        <v>12</v>
      </c>
      <c r="AC1" s="19" t="s">
        <v>13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7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18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cm="1">
        <f t="array" aca="1" ref="D16" ca="1">INDIRECT("'整月外場班表'!"&amp;"B"&amp;$AA16)</f>
        <v>0</v>
      </c>
      <c r="E16" s="7" cm="1">
        <f t="array" aca="1" ref="E16" ca="1">INDIRECT("'整月外場班表'!"&amp;"A"&amp;$AA16)</f>
        <v>0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 t="shared" si="2"/>
        <v>36</v>
      </c>
      <c r="AB16" s="6" cm="1">
        <f t="array" aca="1" ref="AB16" ca="1">_xlfn.IFS(E16="外場兼職",D16&amp;"PT",E16&lt;&gt;"外場兼職",D16)</f>
        <v>0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39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S1:W1"/>
    <mergeCell ref="S2:W2"/>
    <mergeCell ref="S3:W3"/>
    <mergeCell ref="Q1:R1"/>
    <mergeCell ref="Q2:R2"/>
    <mergeCell ref="Q3:R3"/>
    <mergeCell ref="L1:P1"/>
    <mergeCell ref="L2:P2"/>
    <mergeCell ref="L3:P3"/>
    <mergeCell ref="J1:K1"/>
    <mergeCell ref="J2:K2"/>
    <mergeCell ref="J3:K3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B1946-7A1E-4C4E-9A51-43655215FA55}">
  <dimension ref="B1:AH20"/>
  <sheetViews>
    <sheetView showZeros="0" topLeftCell="B1" workbookViewId="0">
      <selection activeCell="F19" sqref="F19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3984375" bestFit="1" customWidth="1"/>
    <col min="5" max="5" width="13" style="1" bestFit="1" customWidth="1"/>
    <col min="6" max="6" width="6.59765625" bestFit="1" customWidth="1"/>
    <col min="7" max="7" width="6" bestFit="1" customWidth="1"/>
    <col min="8" max="8" width="9" bestFit="1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5">
        <v>3</v>
      </c>
      <c r="AB1" s="19" t="s">
        <v>14</v>
      </c>
      <c r="AC1" s="19" t="s">
        <v>20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6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18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cm="1">
        <f t="array" aca="1" ref="D16" ca="1">INDIRECT("'整月外場班表'!"&amp;"B"&amp;$AA16)</f>
        <v>0</v>
      </c>
      <c r="E16" s="7" cm="1">
        <f t="array" aca="1" ref="E16" ca="1">INDIRECT("'整月外場班表'!"&amp;"A"&amp;$AA16)</f>
        <v>0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 t="shared" si="2"/>
        <v>36</v>
      </c>
      <c r="AB16" s="6" cm="1">
        <f t="array" aca="1" ref="AB16" ca="1">_xlfn.IFS(E16="外場兼職",D16&amp;"PT",E16&lt;&gt;"外場兼職",D16)</f>
        <v>0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39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F01C8-5BAA-46DD-9770-48BDB2E62864}">
  <dimension ref="B1:AH20"/>
  <sheetViews>
    <sheetView showZeros="0" topLeftCell="B1" workbookViewId="0">
      <selection activeCell="F19" sqref="F19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3984375" bestFit="1" customWidth="1"/>
    <col min="5" max="5" width="13" style="1" bestFit="1" customWidth="1"/>
    <col min="6" max="6" width="6.59765625" bestFit="1" customWidth="1"/>
    <col min="7" max="7" width="6" bestFit="1" customWidth="1"/>
    <col min="8" max="8" width="9" bestFit="1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5">
        <v>4</v>
      </c>
      <c r="AB1" s="19" t="s">
        <v>21</v>
      </c>
      <c r="AC1" s="19" t="s">
        <v>22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6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18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cm="1">
        <f t="array" aca="1" ref="D16" ca="1">INDIRECT("'整月外場班表'!"&amp;"B"&amp;$AA16)</f>
        <v>0</v>
      </c>
      <c r="E16" s="7" cm="1">
        <f t="array" aca="1" ref="E16" ca="1">INDIRECT("'整月外場班表'!"&amp;"A"&amp;$AA16)</f>
        <v>0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 t="shared" si="2"/>
        <v>36</v>
      </c>
      <c r="AB16" s="6" cm="1">
        <f t="array" aca="1" ref="AB16" ca="1">_xlfn.IFS(E16="外場兼職",D16&amp;"PT",E16&lt;&gt;"外場兼職",D16)</f>
        <v>0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39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6951-1B17-4FB9-8E65-BBA2FA8C8C73}">
  <dimension ref="B1:AH20"/>
  <sheetViews>
    <sheetView showZeros="0" topLeftCell="B1" workbookViewId="0">
      <selection activeCell="F19" sqref="F19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3984375" bestFit="1" customWidth="1"/>
    <col min="5" max="5" width="13" style="1" bestFit="1" customWidth="1"/>
    <col min="6" max="6" width="6.59765625" bestFit="1" customWidth="1"/>
    <col min="7" max="7" width="6" bestFit="1" customWidth="1"/>
    <col min="8" max="8" width="9" bestFit="1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5">
        <v>5</v>
      </c>
      <c r="AB1" s="19" t="s">
        <v>23</v>
      </c>
      <c r="AC1" s="19" t="s">
        <v>24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6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18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cm="1">
        <f t="array" aca="1" ref="D16" ca="1">INDIRECT("'整月外場班表'!"&amp;"B"&amp;$AA16)</f>
        <v>0</v>
      </c>
      <c r="E16" s="7" cm="1">
        <f t="array" aca="1" ref="E16" ca="1">INDIRECT("'整月外場班表'!"&amp;"A"&amp;$AA16)</f>
        <v>0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 t="shared" si="2"/>
        <v>36</v>
      </c>
      <c r="AB16" s="6" cm="1">
        <f t="array" aca="1" ref="AB16" ca="1">_xlfn.IFS(E16="外場兼職",D16&amp;"PT",E16&lt;&gt;"外場兼職",D16)</f>
        <v>0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39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E31A4-E675-4F38-8619-EAE4E5E4B4FA}">
  <dimension ref="B1:AH20"/>
  <sheetViews>
    <sheetView showZeros="0" topLeftCell="B1" workbookViewId="0">
      <selection activeCell="F19" sqref="F19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3984375" bestFit="1" customWidth="1"/>
    <col min="5" max="5" width="13" style="1" bestFit="1" customWidth="1"/>
    <col min="6" max="6" width="6.59765625" bestFit="1" customWidth="1"/>
    <col min="7" max="7" width="6" bestFit="1" customWidth="1"/>
    <col min="8" max="8" width="9" bestFit="1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5">
        <v>6</v>
      </c>
      <c r="AB1" s="19" t="s">
        <v>25</v>
      </c>
      <c r="AC1" s="19" t="s">
        <v>26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6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18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cm="1">
        <f t="array" aca="1" ref="D16" ca="1">INDIRECT("'整月外場班表'!"&amp;"B"&amp;$AA16)</f>
        <v>0</v>
      </c>
      <c r="E16" s="7" cm="1">
        <f t="array" aca="1" ref="E16" ca="1">INDIRECT("'整月外場班表'!"&amp;"A"&amp;$AA16)</f>
        <v>0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 t="shared" si="2"/>
        <v>36</v>
      </c>
      <c r="AB16" s="6" cm="1">
        <f t="array" aca="1" ref="AB16" ca="1">_xlfn.IFS(E16="外場兼職",D16&amp;"PT",E16&lt;&gt;"外場兼職",D16)</f>
        <v>0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39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B89E-5D3B-4D6F-BB98-FEDBB32679B1}">
  <dimension ref="B1:AH20"/>
  <sheetViews>
    <sheetView showZeros="0" topLeftCell="B1" workbookViewId="0">
      <selection activeCell="F19" sqref="F19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3984375" bestFit="1" customWidth="1"/>
    <col min="5" max="5" width="13" style="1" bestFit="1" customWidth="1"/>
    <col min="6" max="6" width="6.59765625" bestFit="1" customWidth="1"/>
    <col min="7" max="7" width="6" bestFit="1" customWidth="1"/>
    <col min="8" max="8" width="9" bestFit="1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5">
        <v>7</v>
      </c>
      <c r="AB1" s="19" t="s">
        <v>27</v>
      </c>
      <c r="AC1" s="19" t="s">
        <v>28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6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18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cm="1">
        <f t="array" aca="1" ref="D16" ca="1">INDIRECT("'整月外場班表'!"&amp;"B"&amp;$AA16)</f>
        <v>0</v>
      </c>
      <c r="E16" s="7" cm="1">
        <f t="array" aca="1" ref="E16" ca="1">INDIRECT("'整月外場班表'!"&amp;"A"&amp;$AA16)</f>
        <v>0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 t="shared" si="2"/>
        <v>36</v>
      </c>
      <c r="AB16" s="6" cm="1">
        <f t="array" aca="1" ref="AB16" ca="1">_xlfn.IFS(E16="外場兼職",D16&amp;"PT",E16&lt;&gt;"外場兼職",D16)</f>
        <v>0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39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4370B-6BF1-4E59-97AB-241091134717}">
  <dimension ref="B1:AH20"/>
  <sheetViews>
    <sheetView showZeros="0" topLeftCell="B1" workbookViewId="0">
      <selection activeCell="F19" sqref="F19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59765625" bestFit="1" customWidth="1"/>
    <col min="5" max="5" width="13" style="1" bestFit="1" customWidth="1"/>
    <col min="6" max="6" width="8.69921875" bestFit="1" customWidth="1"/>
    <col min="7" max="7" width="6" bestFit="1" customWidth="1"/>
    <col min="8" max="8" width="9" bestFit="1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1" width="6" bestFit="1" customWidth="1"/>
    <col min="32" max="32" width="6.5" bestFit="1" customWidth="1"/>
    <col min="33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5">
        <v>8</v>
      </c>
      <c r="AB1" s="19" t="s">
        <v>29</v>
      </c>
      <c r="AC1" s="19" t="s">
        <v>30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6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18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cm="1">
        <f t="array" aca="1" ref="D16" ca="1">INDIRECT("'整月外場班表'!"&amp;"B"&amp;$AA16)</f>
        <v>0</v>
      </c>
      <c r="E16" s="7" cm="1">
        <f t="array" aca="1" ref="E16" ca="1">INDIRECT("'整月外場班表'!"&amp;"A"&amp;$AA16)</f>
        <v>0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 t="shared" si="2"/>
        <v>36</v>
      </c>
      <c r="AB16" s="6" cm="1">
        <f t="array" aca="1" ref="AB16" ca="1">_xlfn.IFS(E16="外場兼職",D16&amp;"PT",E16&lt;&gt;"外場兼職",D16)</f>
        <v>0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39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60E0-EE71-4A14-8D8D-968516DBD4CF}">
  <dimension ref="B1:AH20"/>
  <sheetViews>
    <sheetView showZeros="0" topLeftCell="E1" workbookViewId="0">
      <selection activeCell="F19" sqref="F19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59765625" bestFit="1" customWidth="1"/>
    <col min="5" max="5" width="13" style="1" bestFit="1" customWidth="1"/>
    <col min="6" max="6" width="8.69921875" bestFit="1" customWidth="1"/>
    <col min="7" max="7" width="6" bestFit="1" customWidth="1"/>
    <col min="8" max="8" width="9" bestFit="1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1" width="6" bestFit="1" customWidth="1"/>
    <col min="32" max="32" width="6.5" bestFit="1" customWidth="1"/>
    <col min="33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5">
        <v>9</v>
      </c>
      <c r="AB1" s="19" t="s">
        <v>31</v>
      </c>
      <c r="AC1" s="19" t="s">
        <v>32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6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18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cm="1">
        <f t="array" aca="1" ref="D16" ca="1">INDIRECT("'整月外場班表'!"&amp;"B"&amp;$AA16)</f>
        <v>0</v>
      </c>
      <c r="E16" s="7" cm="1">
        <f t="array" aca="1" ref="E16" ca="1">INDIRECT("'整月外場班表'!"&amp;"A"&amp;$AA16)</f>
        <v>0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 t="shared" si="2"/>
        <v>36</v>
      </c>
      <c r="AB16" s="6" cm="1">
        <f t="array" aca="1" ref="AB16" ca="1">_xlfn.IFS(E16="外場兼職",D16&amp;"PT",E16&lt;&gt;"外場兼職",D16)</f>
        <v>0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39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5C735-B439-49BA-B4C1-91CFE2A5E7B2}">
  <dimension ref="B1:AH20"/>
  <sheetViews>
    <sheetView showZeros="0" topLeftCell="B1" workbookViewId="0">
      <selection activeCell="F19" sqref="F19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19921875" bestFit="1" customWidth="1"/>
    <col min="5" max="5" width="13" style="1" bestFit="1" customWidth="1"/>
    <col min="6" max="6" width="8.59765625" bestFit="1" customWidth="1"/>
    <col min="7" max="7" width="6" bestFit="1" customWidth="1"/>
    <col min="8" max="8" width="9" bestFit="1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5">
        <v>10</v>
      </c>
      <c r="AB1" s="19" t="s">
        <v>33</v>
      </c>
      <c r="AC1" s="19" t="s">
        <v>34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6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18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cm="1">
        <f t="array" aca="1" ref="D16" ca="1">INDIRECT("'整月外場班表'!"&amp;"B"&amp;$AA16)</f>
        <v>0</v>
      </c>
      <c r="E16" s="7" cm="1">
        <f t="array" aca="1" ref="E16" ca="1">INDIRECT("'整月外場班表'!"&amp;"A"&amp;$AA16)</f>
        <v>0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 t="shared" si="2"/>
        <v>36</v>
      </c>
      <c r="AB16" s="6" cm="1">
        <f t="array" aca="1" ref="AB16" ca="1">_xlfn.IFS(E16="外場兼職",D16&amp;"PT",E16&lt;&gt;"外場兼職",D16)</f>
        <v>0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39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A2BC8-135C-425A-89CC-4F9A1C1B9348}">
  <dimension ref="B1:AH20"/>
  <sheetViews>
    <sheetView showZeros="0" topLeftCell="B4" workbookViewId="0">
      <selection activeCell="F19" sqref="F19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19921875" bestFit="1" customWidth="1"/>
    <col min="5" max="5" width="13" style="1" bestFit="1" customWidth="1"/>
    <col min="6" max="6" width="8.59765625" bestFit="1" customWidth="1"/>
    <col min="7" max="7" width="6" bestFit="1" customWidth="1"/>
    <col min="8" max="8" width="9" bestFit="1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5">
        <v>11</v>
      </c>
      <c r="AB1" s="19" t="s">
        <v>35</v>
      </c>
      <c r="AC1" s="19" t="s">
        <v>36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6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18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cm="1">
        <f t="array" aca="1" ref="D16" ca="1">INDIRECT("'整月外場班表'!"&amp;"B"&amp;$AA16)</f>
        <v>0</v>
      </c>
      <c r="E16" s="7" cm="1">
        <f t="array" aca="1" ref="E16" ca="1">INDIRECT("'整月外場班表'!"&amp;"A"&amp;$AA16)</f>
        <v>0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 t="shared" si="2"/>
        <v>36</v>
      </c>
      <c r="AB16" s="6" cm="1">
        <f t="array" aca="1" ref="AB16" ca="1">_xlfn.IFS(E16="外場兼職",D16&amp;"PT",E16&lt;&gt;"外場兼職",D16)</f>
        <v>0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39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B1C69-7ADC-46BF-8651-8A6417EE6F9B}">
  <dimension ref="B1:AH20"/>
  <sheetViews>
    <sheetView showZeros="0" topLeftCell="B1" workbookViewId="0">
      <selection activeCell="F19" sqref="F19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19921875" bestFit="1" customWidth="1"/>
    <col min="5" max="5" width="13" style="1" bestFit="1" customWidth="1"/>
    <col min="6" max="6" width="8.59765625" bestFit="1" customWidth="1"/>
    <col min="7" max="7" width="6" bestFit="1" customWidth="1"/>
    <col min="8" max="8" width="9" bestFit="1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5">
        <v>12</v>
      </c>
      <c r="AB1" s="19" t="s">
        <v>85</v>
      </c>
      <c r="AC1" s="19" t="s">
        <v>37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6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18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cm="1">
        <f t="array" aca="1" ref="D16" ca="1">INDIRECT("'整月外場班表'!"&amp;"B"&amp;$AA16)</f>
        <v>0</v>
      </c>
      <c r="E16" s="7" cm="1">
        <f t="array" aca="1" ref="E16" ca="1">INDIRECT("'整月外場班表'!"&amp;"A"&amp;$AA16)</f>
        <v>0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 t="shared" si="2"/>
        <v>36</v>
      </c>
      <c r="AB16" s="6" cm="1">
        <f t="array" aca="1" ref="AB16" ca="1">_xlfn.IFS(E16="外場兼職",D16&amp;"PT",E16&lt;&gt;"外場兼職",D16)</f>
        <v>0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39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41A04-05A1-4C94-8D26-643788686FB0}">
  <dimension ref="B1:AH20"/>
  <sheetViews>
    <sheetView showZeros="0" topLeftCell="B1" workbookViewId="0">
      <selection activeCell="F19" sqref="F19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19921875" bestFit="1" customWidth="1"/>
    <col min="5" max="5" width="13" style="1" bestFit="1" customWidth="1"/>
    <col min="6" max="6" width="8.59765625" bestFit="1" customWidth="1"/>
    <col min="7" max="7" width="6" bestFit="1" customWidth="1"/>
    <col min="8" max="8" width="10.8984375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1" width="6" bestFit="1" customWidth="1"/>
    <col min="32" max="32" width="6.5" bestFit="1" customWidth="1"/>
    <col min="33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5">
        <v>13</v>
      </c>
      <c r="AB1" s="19" t="s">
        <v>38</v>
      </c>
      <c r="AC1" s="19" t="s">
        <v>39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6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18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cm="1">
        <f t="array" aca="1" ref="D16" ca="1">INDIRECT("'整月外場班表'!"&amp;"B"&amp;$AA16)</f>
        <v>0</v>
      </c>
      <c r="E16" s="7" cm="1">
        <f t="array" aca="1" ref="E16" ca="1">INDIRECT("'整月外場班表'!"&amp;"A"&amp;$AA16)</f>
        <v>0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 t="shared" si="2"/>
        <v>36</v>
      </c>
      <c r="AB16" s="6" cm="1">
        <f t="array" aca="1" ref="AB16" ca="1">_xlfn.IFS(E16="外場兼職",D16&amp;"PT",E16&lt;&gt;"外場兼職",D16)</f>
        <v>0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39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4D34A-C104-45DE-B21D-8D4441345F61}">
  <dimension ref="B1:AH20"/>
  <sheetViews>
    <sheetView showZeros="0" topLeftCell="B1" zoomScale="80" workbookViewId="0">
      <selection activeCell="F19" sqref="F19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19921875" bestFit="1" customWidth="1"/>
    <col min="5" max="5" width="13" style="1" bestFit="1" customWidth="1"/>
    <col min="6" max="6" width="8.59765625" bestFit="1" customWidth="1"/>
    <col min="7" max="7" width="6" bestFit="1" customWidth="1"/>
    <col min="8" max="8" width="10.3984375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5">
        <v>14</v>
      </c>
      <c r="AB1" s="19" t="s">
        <v>40</v>
      </c>
      <c r="AC1" s="19" t="s">
        <v>41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6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18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cm="1">
        <f t="array" aca="1" ref="D16" ca="1">INDIRECT("'整月外場班表'!"&amp;"B"&amp;$AA16)</f>
        <v>0</v>
      </c>
      <c r="E16" s="7" cm="1">
        <f t="array" aca="1" ref="E16" ca="1">INDIRECT("'整月外場班表'!"&amp;"A"&amp;$AA16)</f>
        <v>0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 t="shared" si="2"/>
        <v>36</v>
      </c>
      <c r="AB16" s="6" cm="1">
        <f t="array" aca="1" ref="AB16" ca="1">_xlfn.IFS(E16="外場兼職",D16&amp;"PT",E16&lt;&gt;"外場兼職",D16)</f>
        <v>0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39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F54C9-B596-47A5-8AA0-F8361D12B4B8}">
  <dimension ref="B1:AH20"/>
  <sheetViews>
    <sheetView showZeros="0" topLeftCell="B1" workbookViewId="0">
      <selection activeCell="F19" sqref="F19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59765625" bestFit="1" customWidth="1"/>
    <col min="5" max="5" width="13" style="1" bestFit="1" customWidth="1"/>
    <col min="6" max="6" width="8.69921875" bestFit="1" customWidth="1"/>
    <col min="7" max="7" width="6" bestFit="1" customWidth="1"/>
    <col min="8" max="8" width="9" bestFit="1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1" width="6" bestFit="1" customWidth="1"/>
    <col min="32" max="32" width="6.5" bestFit="1" customWidth="1"/>
    <col min="33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5">
        <v>15</v>
      </c>
      <c r="AB1" s="19" t="s">
        <v>42</v>
      </c>
      <c r="AC1" s="19" t="s">
        <v>43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6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18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cm="1">
        <f t="array" aca="1" ref="D16" ca="1">INDIRECT("'整月外場班表'!"&amp;"B"&amp;$AA16)</f>
        <v>0</v>
      </c>
      <c r="E16" s="7" cm="1">
        <f t="array" aca="1" ref="E16" ca="1">INDIRECT("'整月外場班表'!"&amp;"A"&amp;$AA16)</f>
        <v>0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 t="shared" si="2"/>
        <v>36</v>
      </c>
      <c r="AB16" s="6" cm="1">
        <f t="array" aca="1" ref="AB16" ca="1">_xlfn.IFS(E16="外場兼職",D16&amp;"PT",E16&lt;&gt;"外場兼職",D16)</f>
        <v>0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39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6C48F-C50E-49C7-AC83-3D3107521009}">
  <dimension ref="B1:AH20"/>
  <sheetViews>
    <sheetView showZeros="0" topLeftCell="B1" workbookViewId="0">
      <selection activeCell="F19" sqref="F19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59765625" bestFit="1" customWidth="1"/>
    <col min="5" max="5" width="13" style="1" bestFit="1" customWidth="1"/>
    <col min="6" max="6" width="8.69921875" bestFit="1" customWidth="1"/>
    <col min="7" max="7" width="6" bestFit="1" customWidth="1"/>
    <col min="8" max="8" width="9" bestFit="1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1" width="6" bestFit="1" customWidth="1"/>
    <col min="32" max="32" width="6.5" bestFit="1" customWidth="1"/>
    <col min="33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5">
        <v>16</v>
      </c>
      <c r="AB1" s="19" t="s">
        <v>44</v>
      </c>
      <c r="AC1" s="19" t="s">
        <v>45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6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18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cm="1">
        <f t="array" aca="1" ref="D16" ca="1">INDIRECT("'整月外場班表'!"&amp;"B"&amp;$AA16)</f>
        <v>0</v>
      </c>
      <c r="E16" s="7" cm="1">
        <f t="array" aca="1" ref="E16" ca="1">INDIRECT("'整月外場班表'!"&amp;"A"&amp;$AA16)</f>
        <v>0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 t="shared" si="2"/>
        <v>36</v>
      </c>
      <c r="AB16" s="6" cm="1">
        <f t="array" aca="1" ref="AB16" ca="1">_xlfn.IFS(E16="外場兼職",D16&amp;"PT",E16&lt;&gt;"外場兼職",D16)</f>
        <v>0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39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E10A-7A59-4E87-9660-02301BA7C63A}">
  <dimension ref="B1:AH20"/>
  <sheetViews>
    <sheetView showZeros="0" topLeftCell="B1" workbookViewId="0">
      <selection activeCell="F19" sqref="F19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19921875" bestFit="1" customWidth="1"/>
    <col min="5" max="5" width="13" style="1" bestFit="1" customWidth="1"/>
    <col min="6" max="6" width="8.59765625" bestFit="1" customWidth="1"/>
    <col min="7" max="7" width="6" bestFit="1" customWidth="1"/>
    <col min="8" max="8" width="9" bestFit="1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5">
        <v>17</v>
      </c>
      <c r="AB1" s="19" t="s">
        <v>46</v>
      </c>
      <c r="AC1" s="19" t="s">
        <v>47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6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18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cm="1">
        <f t="array" aca="1" ref="D16" ca="1">INDIRECT("'整月外場班表'!"&amp;"B"&amp;$AA16)</f>
        <v>0</v>
      </c>
      <c r="E16" s="7" cm="1">
        <f t="array" aca="1" ref="E16" ca="1">INDIRECT("'整月外場班表'!"&amp;"A"&amp;$AA16)</f>
        <v>0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 t="shared" si="2"/>
        <v>36</v>
      </c>
      <c r="AB16" s="6" cm="1">
        <f t="array" aca="1" ref="AB16" ca="1">_xlfn.IFS(E16="外場兼職",D16&amp;"PT",E16&lt;&gt;"外場兼職",D16)</f>
        <v>0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39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9AFF5-ACD8-4F8E-A7B1-4CC983D3C732}">
  <dimension ref="B1:AH20"/>
  <sheetViews>
    <sheetView showZeros="0" topLeftCell="E1" workbookViewId="0">
      <selection activeCell="F19" sqref="F19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19921875" bestFit="1" customWidth="1"/>
    <col min="5" max="5" width="13" style="1" bestFit="1" customWidth="1"/>
    <col min="6" max="6" width="8.59765625" bestFit="1" customWidth="1"/>
    <col min="7" max="7" width="6" bestFit="1" customWidth="1"/>
    <col min="8" max="8" width="9" bestFit="1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5">
        <v>18</v>
      </c>
      <c r="AB1" s="19" t="s">
        <v>48</v>
      </c>
      <c r="AC1" s="19" t="s">
        <v>49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6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18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cm="1">
        <f t="array" aca="1" ref="D16" ca="1">INDIRECT("'整月外場班表'!"&amp;"B"&amp;$AA16)</f>
        <v>0</v>
      </c>
      <c r="E16" s="7" cm="1">
        <f t="array" aca="1" ref="E16" ca="1">INDIRECT("'整月外場班表'!"&amp;"A"&amp;$AA16)</f>
        <v>0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 t="shared" si="2"/>
        <v>36</v>
      </c>
      <c r="AB16" s="6" cm="1">
        <f t="array" aca="1" ref="AB16" ca="1">_xlfn.IFS(E16="外場兼職",D16&amp;"PT",E16&lt;&gt;"外場兼職",D16)</f>
        <v>0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39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3FCF3-9EF1-4390-AC07-04BC1B8E1EEE}">
  <dimension ref="B1:AH20"/>
  <sheetViews>
    <sheetView showZeros="0" topLeftCell="E1" workbookViewId="0">
      <selection activeCell="F19" sqref="F19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19921875" bestFit="1" customWidth="1"/>
    <col min="5" max="5" width="13" style="1" bestFit="1" customWidth="1"/>
    <col min="6" max="6" width="8.59765625" bestFit="1" customWidth="1"/>
    <col min="7" max="7" width="6" bestFit="1" customWidth="1"/>
    <col min="8" max="8" width="9" bestFit="1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5">
        <v>19</v>
      </c>
      <c r="AB1" s="19" t="s">
        <v>50</v>
      </c>
      <c r="AC1" s="19" t="s">
        <v>51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6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18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cm="1">
        <f t="array" aca="1" ref="D16" ca="1">INDIRECT("'整月外場班表'!"&amp;"B"&amp;$AA16)</f>
        <v>0</v>
      </c>
      <c r="E16" s="7" cm="1">
        <f t="array" aca="1" ref="E16" ca="1">INDIRECT("'整月外場班表'!"&amp;"A"&amp;$AA16)</f>
        <v>0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 t="shared" si="2"/>
        <v>36</v>
      </c>
      <c r="AB16" s="6" cm="1">
        <f t="array" aca="1" ref="AB16" ca="1">_xlfn.IFS(E16="外場兼職",D16&amp;"PT",E16&lt;&gt;"外場兼職",D16)</f>
        <v>0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39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5417B-5E73-44C9-B328-4CBF0312BEC7}">
  <dimension ref="B1:AH20"/>
  <sheetViews>
    <sheetView showZeros="0" topLeftCell="B1" workbookViewId="0">
      <selection activeCell="F19" sqref="F19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19921875" bestFit="1" customWidth="1"/>
    <col min="5" max="5" width="13" style="1" bestFit="1" customWidth="1"/>
    <col min="6" max="6" width="8.59765625" bestFit="1" customWidth="1"/>
    <col min="7" max="7" width="6" bestFit="1" customWidth="1"/>
    <col min="8" max="8" width="9" bestFit="1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1" width="6" bestFit="1" customWidth="1"/>
    <col min="32" max="32" width="6.5" bestFit="1" customWidth="1"/>
    <col min="33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5">
        <v>20</v>
      </c>
      <c r="AB1" s="19" t="s">
        <v>52</v>
      </c>
      <c r="AC1" s="19" t="s">
        <v>53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6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18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cm="1">
        <f t="array" aca="1" ref="D16" ca="1">INDIRECT("'整月外場班表'!"&amp;"B"&amp;$AA16)</f>
        <v>0</v>
      </c>
      <c r="E16" s="7" cm="1">
        <f t="array" aca="1" ref="E16" ca="1">INDIRECT("'整月外場班表'!"&amp;"A"&amp;$AA16)</f>
        <v>0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 t="shared" si="2"/>
        <v>36</v>
      </c>
      <c r="AB16" s="6" cm="1">
        <f t="array" aca="1" ref="AB16" ca="1">_xlfn.IFS(E16="外場兼職",D16&amp;"PT",E16&lt;&gt;"外場兼職",D16)</f>
        <v>0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39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D5701-D1BB-427A-8F46-1230E2BD6CCC}">
  <dimension ref="B1:AH20"/>
  <sheetViews>
    <sheetView showZeros="0" topLeftCell="E1" workbookViewId="0">
      <selection activeCell="F19" sqref="F19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19921875" bestFit="1" customWidth="1"/>
    <col min="5" max="5" width="13" style="1" bestFit="1" customWidth="1"/>
    <col min="6" max="6" width="8.59765625" bestFit="1" customWidth="1"/>
    <col min="7" max="7" width="6" bestFit="1" customWidth="1"/>
    <col min="8" max="8" width="9" bestFit="1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5">
        <v>21</v>
      </c>
      <c r="AB1" s="19" t="s">
        <v>54</v>
      </c>
      <c r="AC1" s="19" t="s">
        <v>55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6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7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cm="1">
        <f t="array" aca="1" ref="D16" ca="1">INDIRECT("'整月外場班表'!"&amp;"B"&amp;$AA16)</f>
        <v>0</v>
      </c>
      <c r="E16" s="7" cm="1">
        <f t="array" aca="1" ref="E16" ca="1">INDIRECT("'整月外場班表'!"&amp;"A"&amp;$AA16)</f>
        <v>0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 t="shared" si="2"/>
        <v>36</v>
      </c>
      <c r="AB16" s="6" cm="1">
        <f t="array" aca="1" ref="AB16" ca="1">_xlfn.IFS(E16="外場兼職",D16&amp;"PT",E16&lt;&gt;"外場兼職",D16)</f>
        <v>0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39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F69B9-8C94-463C-8AC8-60419FF16C7A}">
  <dimension ref="B1:AH20"/>
  <sheetViews>
    <sheetView showZeros="0" topLeftCell="E1" workbookViewId="0">
      <selection activeCell="F19" sqref="F19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19921875" bestFit="1" customWidth="1"/>
    <col min="5" max="5" width="13" style="1" bestFit="1" customWidth="1"/>
    <col min="6" max="6" width="8.59765625" bestFit="1" customWidth="1"/>
    <col min="7" max="7" width="6" bestFit="1" customWidth="1"/>
    <col min="8" max="8" width="9" bestFit="1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5">
        <v>22</v>
      </c>
      <c r="AB1" s="19" t="s">
        <v>56</v>
      </c>
      <c r="AC1" s="19" t="s">
        <v>57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6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7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cm="1">
        <f t="array" aca="1" ref="D16" ca="1">INDIRECT("'整月外場班表'!"&amp;"B"&amp;$AA16)</f>
        <v>0</v>
      </c>
      <c r="E16" s="7" cm="1">
        <f t="array" aca="1" ref="E16" ca="1">INDIRECT("'整月外場班表'!"&amp;"A"&amp;$AA16)</f>
        <v>0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 t="shared" si="2"/>
        <v>36</v>
      </c>
      <c r="AB16" s="6" cm="1">
        <f t="array" aca="1" ref="AB16" ca="1">_xlfn.IFS(E16="外場兼職",D16&amp;"PT",E16&lt;&gt;"外場兼職",D16)</f>
        <v>0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39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B7648-AE37-49E3-B75F-212CEC820B30}">
  <dimension ref="B1:AH20"/>
  <sheetViews>
    <sheetView showZeros="0" topLeftCell="F1" workbookViewId="0">
      <selection activeCell="F19" sqref="F19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19921875" bestFit="1" customWidth="1"/>
    <col min="5" max="5" width="13" style="1" bestFit="1" customWidth="1"/>
    <col min="6" max="6" width="8.59765625" bestFit="1" customWidth="1"/>
    <col min="7" max="7" width="6" bestFit="1" customWidth="1"/>
    <col min="8" max="8" width="9" bestFit="1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1" width="6" bestFit="1" customWidth="1"/>
    <col min="32" max="32" width="6.5" bestFit="1" customWidth="1"/>
    <col min="33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5">
        <v>23</v>
      </c>
      <c r="AB1" s="19" t="s">
        <v>58</v>
      </c>
      <c r="AC1" s="19" t="s">
        <v>59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6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7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cm="1">
        <f t="array" aca="1" ref="D16" ca="1">INDIRECT("'整月外場班表'!"&amp;"B"&amp;$AA16)</f>
        <v>0</v>
      </c>
      <c r="E16" s="7" cm="1">
        <f t="array" aca="1" ref="E16" ca="1">INDIRECT("'整月外場班表'!"&amp;"A"&amp;$AA16)</f>
        <v>0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 t="shared" si="2"/>
        <v>36</v>
      </c>
      <c r="AB16" s="6" cm="1">
        <f t="array" aca="1" ref="AB16" ca="1">_xlfn.IFS(E16="外場兼職",D16&amp;"PT",E16&lt;&gt;"外場兼職",D16)</f>
        <v>0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39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1C8D7-2786-4577-B72C-91A7534C3635}">
  <dimension ref="B1:AH20"/>
  <sheetViews>
    <sheetView showZeros="0" topLeftCell="B1" workbookViewId="0">
      <selection activeCell="F19" sqref="F19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19921875" bestFit="1" customWidth="1"/>
    <col min="5" max="5" width="13" style="1" bestFit="1" customWidth="1"/>
    <col min="6" max="6" width="8.59765625" bestFit="1" customWidth="1"/>
    <col min="7" max="7" width="6" bestFit="1" customWidth="1"/>
    <col min="8" max="8" width="9" bestFit="1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5">
        <v>24</v>
      </c>
      <c r="AB1" s="19" t="s">
        <v>60</v>
      </c>
      <c r="AC1" s="19" t="s">
        <v>61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6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7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cm="1">
        <f t="array" aca="1" ref="D16" ca="1">INDIRECT("'整月外場班表'!"&amp;"B"&amp;$AA16)</f>
        <v>0</v>
      </c>
      <c r="E16" s="7" cm="1">
        <f t="array" aca="1" ref="E16" ca="1">INDIRECT("'整月外場班表'!"&amp;"A"&amp;$AA16)</f>
        <v>0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 t="shared" si="2"/>
        <v>36</v>
      </c>
      <c r="AB16" s="6" cm="1">
        <f t="array" aca="1" ref="AB16" ca="1">_xlfn.IFS(E16="外場兼職",D16&amp;"PT",E16&lt;&gt;"外場兼職",D16)</f>
        <v>0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39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CFE6-A3DA-4066-A62B-65A76B8A9C8B}">
  <dimension ref="B1:AH20"/>
  <sheetViews>
    <sheetView showZeros="0" topLeftCell="B1" workbookViewId="0">
      <selection activeCell="F19" sqref="F19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19921875" bestFit="1" customWidth="1"/>
    <col min="5" max="5" width="13" style="1" bestFit="1" customWidth="1"/>
    <col min="6" max="6" width="8.59765625" bestFit="1" customWidth="1"/>
    <col min="7" max="7" width="6" bestFit="1" customWidth="1"/>
    <col min="8" max="8" width="9" bestFit="1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5">
        <v>25</v>
      </c>
      <c r="AB1" s="19" t="s">
        <v>62</v>
      </c>
      <c r="AC1" s="19" t="s">
        <v>63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6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7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cm="1">
        <f t="array" aca="1" ref="D16" ca="1">INDIRECT("'整月外場班表'!"&amp;"B"&amp;$AA16)</f>
        <v>0</v>
      </c>
      <c r="E16" s="7" cm="1">
        <f t="array" aca="1" ref="E16" ca="1">INDIRECT("'整月外場班表'!"&amp;"A"&amp;$AA16)</f>
        <v>0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 t="shared" si="2"/>
        <v>36</v>
      </c>
      <c r="AB16" s="6" cm="1">
        <f t="array" aca="1" ref="AB16" ca="1">_xlfn.IFS(E16="外場兼職",D16&amp;"PT",E16&lt;&gt;"外場兼職",D16)</f>
        <v>0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39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2936D-ABAE-4A33-A2D3-FBF3398760D8}">
  <dimension ref="B1:AH20"/>
  <sheetViews>
    <sheetView showZeros="0" topLeftCell="B1" workbookViewId="0">
      <selection activeCell="F19" sqref="F19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19921875" bestFit="1" customWidth="1"/>
    <col min="5" max="5" width="13" style="1" bestFit="1" customWidth="1"/>
    <col min="6" max="6" width="8.59765625" bestFit="1" customWidth="1"/>
    <col min="7" max="7" width="6" bestFit="1" customWidth="1"/>
    <col min="8" max="8" width="9" bestFit="1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5">
        <v>26</v>
      </c>
      <c r="AB1" s="19" t="s">
        <v>64</v>
      </c>
      <c r="AC1" s="19" t="s">
        <v>65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6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7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cm="1">
        <f t="array" aca="1" ref="D16" ca="1">INDIRECT("'整月外場班表'!"&amp;"B"&amp;$AA16)</f>
        <v>0</v>
      </c>
      <c r="E16" s="7" cm="1">
        <f t="array" aca="1" ref="E16" ca="1">INDIRECT("'整月外場班表'!"&amp;"A"&amp;$AA16)</f>
        <v>0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 t="shared" si="2"/>
        <v>36</v>
      </c>
      <c r="AB16" s="6" cm="1">
        <f t="array" aca="1" ref="AB16" ca="1">_xlfn.IFS(E16="外場兼職",D16&amp;"PT",E16&lt;&gt;"外場兼職",D16)</f>
        <v>0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39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10B08-9319-4C48-B83C-7693320A63BE}">
  <dimension ref="B1:AH20"/>
  <sheetViews>
    <sheetView showZeros="0" topLeftCell="B1" workbookViewId="0">
      <selection activeCell="F19" sqref="F19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19921875" bestFit="1" customWidth="1"/>
    <col min="5" max="5" width="13" style="1" bestFit="1" customWidth="1"/>
    <col min="6" max="6" width="8.59765625" bestFit="1" customWidth="1"/>
    <col min="7" max="7" width="6" bestFit="1" customWidth="1"/>
    <col min="8" max="8" width="9" bestFit="1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5">
        <v>27</v>
      </c>
      <c r="AB1" s="19" t="s">
        <v>66</v>
      </c>
      <c r="AC1" s="19" t="s">
        <v>67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6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7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cm="1">
        <f t="array" aca="1" ref="D16" ca="1">INDIRECT("'整月外場班表'!"&amp;"B"&amp;$AA16)</f>
        <v>0</v>
      </c>
      <c r="E16" s="7" cm="1">
        <f t="array" aca="1" ref="E16" ca="1">INDIRECT("'整月外場班表'!"&amp;"A"&amp;$AA16)</f>
        <v>0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 t="shared" si="2"/>
        <v>36</v>
      </c>
      <c r="AB16" s="6" cm="1">
        <f t="array" aca="1" ref="AB16" ca="1">_xlfn.IFS(E16="外場兼職",D16&amp;"PT",E16&lt;&gt;"外場兼職",D16)</f>
        <v>0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39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E0EE5-520B-4721-9FF2-7F6ECD196237}">
  <dimension ref="B1:AH20"/>
  <sheetViews>
    <sheetView showZeros="0" topLeftCell="F1" workbookViewId="0">
      <selection activeCell="F19" sqref="F19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19921875" bestFit="1" customWidth="1"/>
    <col min="5" max="5" width="13" style="1" bestFit="1" customWidth="1"/>
    <col min="6" max="6" width="8.59765625" bestFit="1" customWidth="1"/>
    <col min="7" max="7" width="6" bestFit="1" customWidth="1"/>
    <col min="8" max="8" width="9" bestFit="1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5">
        <v>28</v>
      </c>
      <c r="AB1" s="19" t="s">
        <v>68</v>
      </c>
      <c r="AC1" s="19" t="s">
        <v>69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6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7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cm="1">
        <f t="array" aca="1" ref="D16" ca="1">INDIRECT("'整月外場班表'!"&amp;"B"&amp;$AA16)</f>
        <v>0</v>
      </c>
      <c r="E16" s="7" cm="1">
        <f t="array" aca="1" ref="E16" ca="1">INDIRECT("'整月外場班表'!"&amp;"A"&amp;$AA16)</f>
        <v>0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 t="shared" si="2"/>
        <v>36</v>
      </c>
      <c r="AB16" s="6" cm="1">
        <f t="array" aca="1" ref="AB16" ca="1">_xlfn.IFS(E16="外場兼職",D16&amp;"PT",E16&lt;&gt;"外場兼職",D16)</f>
        <v>0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39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683F-DBE3-4EF5-B658-E788B3971DB3}">
  <dimension ref="B1:AH20"/>
  <sheetViews>
    <sheetView showZeros="0" topLeftCell="F1" workbookViewId="0">
      <selection activeCell="F19" sqref="F19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19921875" bestFit="1" customWidth="1"/>
    <col min="5" max="5" width="13" style="1" bestFit="1" customWidth="1"/>
    <col min="6" max="6" width="8.59765625" bestFit="1" customWidth="1"/>
    <col min="7" max="7" width="6" bestFit="1" customWidth="1"/>
    <col min="8" max="8" width="9" bestFit="1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5">
        <v>29</v>
      </c>
      <c r="AB1" s="19" t="s">
        <v>70</v>
      </c>
      <c r="AC1" s="19" t="s">
        <v>71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6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7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t="str" cm="1">
        <f t="array" aca="1" ref="D16" ca="1">INDIRECT("'整月外場班表'!"&amp;"B"&amp;$AA16)</f>
        <v>黃先祺</v>
      </c>
      <c r="E16" s="7" t="str" cm="1">
        <f t="array" aca="1" ref="E16" ca="1">INDIRECT("'整月外場班表'!"&amp;"A"&amp;$AA16)</f>
        <v>兼職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>AA12+3</f>
        <v>27</v>
      </c>
      <c r="AB16" s="6" t="str" cm="1">
        <f t="array" aca="1" ref="AB16" ca="1">_xlfn.IFS(E16="外場兼職",D16&amp;"PT",E16&lt;&gt;"外場兼職",D16)</f>
        <v>黃先祺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30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08029-05E9-4A43-B004-A9D4107996E4}">
  <dimension ref="B1:AH20"/>
  <sheetViews>
    <sheetView showZeros="0" topLeftCell="B1" workbookViewId="0">
      <selection activeCell="F19" sqref="F19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19921875" bestFit="1" customWidth="1"/>
    <col min="5" max="5" width="13" style="1" bestFit="1" customWidth="1"/>
    <col min="6" max="6" width="8.59765625" bestFit="1" customWidth="1"/>
    <col min="7" max="7" width="6" bestFit="1" customWidth="1"/>
    <col min="8" max="8" width="9" bestFit="1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1" width="6" bestFit="1" customWidth="1"/>
    <col min="32" max="32" width="6.5" bestFit="1" customWidth="1"/>
    <col min="33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5">
        <v>30</v>
      </c>
      <c r="AB1" s="19" t="s">
        <v>72</v>
      </c>
      <c r="AC1" s="19" t="s">
        <v>74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6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7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t="str" cm="1">
        <f t="array" aca="1" ref="D16" ca="1">INDIRECT("'整月外場班表'!"&amp;"B"&amp;$AA16)</f>
        <v>黃先祺</v>
      </c>
      <c r="E16" s="7" t="str" cm="1">
        <f t="array" aca="1" ref="E16" ca="1">INDIRECT("'整月外場班表'!"&amp;"A"&amp;$AA16)</f>
        <v>兼職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>AA12+3</f>
        <v>27</v>
      </c>
      <c r="AB16" s="6" t="str" cm="1">
        <f t="array" aca="1" ref="AB16" ca="1">_xlfn.IFS(E16="外場兼職",D16&amp;"PT",E16&lt;&gt;"外場兼職",D16)</f>
        <v>黃先祺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30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54FB0-7CBC-4752-8DBC-D646D45ECFC7}">
  <dimension ref="B1:AH20"/>
  <sheetViews>
    <sheetView showZeros="0" topLeftCell="B1" workbookViewId="0">
      <selection activeCell="F20" sqref="F20"/>
    </sheetView>
  </sheetViews>
  <sheetFormatPr defaultRowHeight="14.5"/>
  <cols>
    <col min="1" max="1" width="0" hidden="1" customWidth="1"/>
    <col min="2" max="2" width="3.69921875" style="1" bestFit="1" customWidth="1"/>
    <col min="3" max="3" width="3.5" hidden="1" customWidth="1"/>
    <col min="4" max="4" width="8.19921875" bestFit="1" customWidth="1"/>
    <col min="5" max="5" width="13" style="1" bestFit="1" customWidth="1"/>
    <col min="6" max="6" width="8.59765625" bestFit="1" customWidth="1"/>
    <col min="7" max="7" width="6" bestFit="1" customWidth="1"/>
    <col min="8" max="8" width="9" bestFit="1" customWidth="1"/>
    <col min="9" max="9" width="6" bestFit="1" customWidth="1"/>
    <col min="10" max="10" width="10.5" bestFit="1" customWidth="1"/>
    <col min="11" max="23" width="5.69921875" customWidth="1"/>
    <col min="24" max="24" width="7.09765625" customWidth="1"/>
    <col min="25" max="26" width="5.5" customWidth="1"/>
    <col min="27" max="27" width="3.5" bestFit="1" customWidth="1"/>
    <col min="28" max="28" width="10.59765625" bestFit="1" customWidth="1"/>
    <col min="29" max="30" width="10.5" bestFit="1" customWidth="1"/>
    <col min="31" max="33" width="6" bestFit="1" customWidth="1"/>
    <col min="34" max="34" width="8.19921875" bestFit="1" customWidth="1"/>
  </cols>
  <sheetData>
    <row r="1" spans="2:34" ht="15" thickTop="1">
      <c r="D1" s="69"/>
      <c r="E1" s="69"/>
      <c r="F1" s="70"/>
      <c r="G1" s="67"/>
      <c r="H1" s="72"/>
      <c r="I1" s="73"/>
      <c r="J1" s="166"/>
      <c r="K1" s="166"/>
      <c r="L1" s="167"/>
      <c r="M1" s="167"/>
      <c r="N1" s="167"/>
      <c r="O1" s="167"/>
      <c r="P1" s="167"/>
      <c r="Q1" s="166"/>
      <c r="R1" s="166"/>
      <c r="S1" s="167"/>
      <c r="T1" s="167"/>
      <c r="U1" s="167"/>
      <c r="V1" s="167"/>
      <c r="W1" s="167"/>
      <c r="X1" s="67"/>
      <c r="Y1" s="67"/>
      <c r="Z1" s="67"/>
      <c r="AA1" s="65">
        <v>31</v>
      </c>
      <c r="AB1" s="19" t="s">
        <v>73</v>
      </c>
      <c r="AC1" s="19" t="s">
        <v>86</v>
      </c>
      <c r="AD1" s="10"/>
      <c r="AE1" s="10"/>
      <c r="AF1" s="10"/>
      <c r="AG1" s="10"/>
      <c r="AH1" s="11"/>
    </row>
    <row r="2" spans="2:34">
      <c r="D2" s="71"/>
      <c r="E2" s="69"/>
      <c r="F2" s="70"/>
      <c r="G2" s="67"/>
      <c r="H2" s="67"/>
      <c r="I2" s="67"/>
      <c r="J2" s="166"/>
      <c r="K2" s="166"/>
      <c r="L2" s="167"/>
      <c r="M2" s="167"/>
      <c r="N2" s="167"/>
      <c r="O2" s="167"/>
      <c r="P2" s="167"/>
      <c r="Q2" s="166"/>
      <c r="R2" s="166"/>
      <c r="S2" s="167"/>
      <c r="T2" s="167"/>
      <c r="U2" s="167"/>
      <c r="V2" s="167"/>
      <c r="W2" s="167"/>
      <c r="X2" s="67"/>
      <c r="Y2" s="67"/>
      <c r="Z2" s="67"/>
      <c r="AA2" s="66"/>
      <c r="AB2" s="17"/>
      <c r="AC2" s="17"/>
      <c r="AH2" s="12"/>
    </row>
    <row r="3" spans="2:34">
      <c r="D3" s="71"/>
      <c r="E3" s="69"/>
      <c r="F3" s="71"/>
      <c r="G3" s="64"/>
      <c r="H3" s="67"/>
      <c r="I3" s="67"/>
      <c r="J3" s="166"/>
      <c r="K3" s="166"/>
      <c r="L3" s="167"/>
      <c r="M3" s="167"/>
      <c r="N3" s="167"/>
      <c r="O3" s="167"/>
      <c r="P3" s="167"/>
      <c r="Q3" s="166"/>
      <c r="R3" s="166"/>
      <c r="S3" s="167"/>
      <c r="T3" s="167"/>
      <c r="U3" s="167"/>
      <c r="V3" s="167"/>
      <c r="W3" s="167"/>
      <c r="X3" s="67"/>
      <c r="Y3" s="67"/>
      <c r="Z3" s="67"/>
      <c r="AA3" s="67"/>
      <c r="AB3" s="17"/>
      <c r="AC3" s="17"/>
      <c r="AH3" s="12"/>
    </row>
    <row r="4" spans="2:34">
      <c r="D4" s="71"/>
      <c r="E4" s="69"/>
      <c r="F4" s="7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C4" s="1"/>
      <c r="AD4" s="1"/>
      <c r="AF4" s="1"/>
      <c r="AH4" s="12"/>
    </row>
    <row r="5" spans="2:34">
      <c r="B5" s="5"/>
      <c r="C5" s="6"/>
      <c r="D5" s="6"/>
      <c r="E5" s="5"/>
      <c r="F5" s="5" t="s">
        <v>0</v>
      </c>
      <c r="G5" s="5" t="s">
        <v>1</v>
      </c>
      <c r="H5" s="5" t="s">
        <v>0</v>
      </c>
      <c r="I5" s="5" t="s">
        <v>1</v>
      </c>
      <c r="J5" s="2"/>
      <c r="K5" s="1"/>
      <c r="L5" s="1"/>
      <c r="M5" s="1"/>
      <c r="N5" s="1"/>
      <c r="AA5" s="13">
        <v>3</v>
      </c>
      <c r="AC5" s="1" t="s">
        <v>15</v>
      </c>
      <c r="AD5" s="1" t="s">
        <v>19</v>
      </c>
      <c r="AE5" s="9" t="s">
        <v>17</v>
      </c>
      <c r="AF5" s="1" t="s">
        <v>18</v>
      </c>
      <c r="AG5" s="9" t="s">
        <v>16</v>
      </c>
      <c r="AH5" s="14" t="s">
        <v>75</v>
      </c>
    </row>
    <row r="6" spans="2:34">
      <c r="B6" s="5" t="s">
        <v>9</v>
      </c>
      <c r="C6" s="6">
        <v>5</v>
      </c>
      <c r="D6" s="7" t="str" cm="1">
        <f t="array" aca="1" ref="D6" ca="1">INDIRECT("'整月外場班表'!"&amp;"B"&amp;$AA6)</f>
        <v>張意昕</v>
      </c>
      <c r="E6" s="7" t="str" cm="1">
        <f t="array" aca="1" ref="E6" ca="1">INDIRECT("'整月外場班表'!"&amp;"A"&amp;$AA6)</f>
        <v>儲備幹部</v>
      </c>
      <c r="F6" s="7" cm="1">
        <f t="array" aca="1" ref="F6" ca="1">INDIRECT("'整月外場班表'!"&amp;$AB$1&amp;$AA6)</f>
        <v>0</v>
      </c>
      <c r="G6" s="7" cm="1">
        <f t="array" aca="1" ref="G6" ca="1">INDIRECT("'整月外場班表'!"&amp;$AC$1&amp;$AA6)</f>
        <v>0</v>
      </c>
      <c r="H6" s="7" cm="1">
        <f t="array" aca="1" ref="H6" ca="1">INDIRECT("'整月外場班表'!"&amp;$AB$1&amp;AA6+1)</f>
        <v>0</v>
      </c>
      <c r="I6" s="7" cm="1">
        <f t="array" aca="1" ref="I6" ca="1">INDIRECT("'整月外場班表'!"&amp;$AC$1&amp;$AA6+1)</f>
        <v>0</v>
      </c>
      <c r="J6" s="2"/>
      <c r="K6" s="1"/>
      <c r="L6" s="1"/>
      <c r="M6" s="1"/>
      <c r="N6" s="1"/>
      <c r="AA6" s="13">
        <v>6</v>
      </c>
      <c r="AB6" s="6" t="str" cm="1">
        <f t="array" aca="1" ref="AB6" ca="1">_xlfn.IFS(E6="外場兼職",D6&amp;"PT",E6&lt;&gt;"外場兼職",D6)</f>
        <v>張意昕</v>
      </c>
      <c r="AC6" s="18">
        <v>10</v>
      </c>
      <c r="AD6" s="7">
        <f t="shared" ref="AD6:AD17" ca="1" si="0">F6-AC6+10</f>
        <v>0</v>
      </c>
      <c r="AE6" s="7">
        <f t="shared" ref="AE6:AG17" ca="1" si="1">G6-F6</f>
        <v>0</v>
      </c>
      <c r="AF6" s="7">
        <f t="shared" ca="1" si="1"/>
        <v>0</v>
      </c>
      <c r="AG6" s="18">
        <f t="shared" ca="1" si="1"/>
        <v>0</v>
      </c>
      <c r="AH6" s="20">
        <f ca="1">AE6+AG6</f>
        <v>0</v>
      </c>
    </row>
    <row r="7" spans="2:34">
      <c r="B7" s="5" t="s">
        <v>9</v>
      </c>
      <c r="C7" s="6">
        <f>C6+3</f>
        <v>8</v>
      </c>
      <c r="D7" s="7" t="str" cm="1">
        <f t="array" aca="1" ref="D7" ca="1">INDIRECT("'整月外場班表'!"&amp;"B"&amp;$AA7)</f>
        <v>楊衡欣</v>
      </c>
      <c r="E7" s="7" t="str" cm="1">
        <f t="array" aca="1" ref="E7" ca="1">INDIRECT("'整月外場班表'!"&amp;"A"&amp;$AA7)</f>
        <v>儲備幹部</v>
      </c>
      <c r="F7" s="7" cm="1">
        <f t="array" aca="1" ref="F7" ca="1">INDIRECT("'整月外場班表'!"&amp;$AB$1&amp;$AA7)</f>
        <v>0</v>
      </c>
      <c r="G7" s="7" cm="1">
        <f t="array" aca="1" ref="G7" ca="1">INDIRECT("'整月外場班表'!"&amp;$AC$1&amp;$AA7)</f>
        <v>0</v>
      </c>
      <c r="H7" s="7" cm="1">
        <f t="array" aca="1" ref="H7" ca="1">INDIRECT("'整月外場班表'!"&amp;$AB$1&amp;AA7+1)</f>
        <v>0</v>
      </c>
      <c r="I7" s="7" cm="1">
        <f t="array" aca="1" ref="I7" ca="1">INDIRECT("'整月外場班表'!"&amp;$AC$1&amp;$AA7+1)</f>
        <v>0</v>
      </c>
      <c r="J7" s="2"/>
      <c r="K7" s="1"/>
      <c r="L7" s="1"/>
      <c r="M7" s="1"/>
      <c r="N7" s="1"/>
      <c r="AA7" s="13">
        <f t="shared" ref="AA7:AA17" si="2">AA6+3</f>
        <v>9</v>
      </c>
      <c r="AB7" s="6" t="str" cm="1">
        <f t="array" aca="1" ref="AB7" ca="1">_xlfn.IFS(E7="外場兼職",D7&amp;"PT",E7&lt;&gt;"外場兼職",D7)</f>
        <v>楊衡欣</v>
      </c>
      <c r="AC7" s="18">
        <v>10</v>
      </c>
      <c r="AD7" s="7">
        <f t="shared" ca="1" si="0"/>
        <v>0</v>
      </c>
      <c r="AE7" s="7">
        <f t="shared" ca="1" si="1"/>
        <v>0</v>
      </c>
      <c r="AF7" s="7">
        <f t="shared" ca="1" si="1"/>
        <v>0</v>
      </c>
      <c r="AG7" s="7">
        <f t="shared" ca="1" si="1"/>
        <v>0</v>
      </c>
      <c r="AH7" s="20">
        <f t="shared" ref="AH7:AH17" ca="1" si="3">AE7+AG7</f>
        <v>0</v>
      </c>
    </row>
    <row r="8" spans="2:34">
      <c r="B8" s="5" t="s">
        <v>9</v>
      </c>
      <c r="C8" s="6">
        <f t="shared" ref="C8:C15" si="4">C7+3</f>
        <v>11</v>
      </c>
      <c r="D8" s="7" t="str" cm="1">
        <f t="array" aca="1" ref="D8" ca="1">INDIRECT("'整月外場班表'!"&amp;"B"&amp;$AA8)</f>
        <v>宋文馨</v>
      </c>
      <c r="E8" s="7" t="str" cm="1">
        <f t="array" aca="1" ref="E8" ca="1">INDIRECT("'整月外場班表'!"&amp;"A"&amp;$AA8)</f>
        <v>儲備幹部</v>
      </c>
      <c r="F8" s="7" cm="1">
        <f t="array" aca="1" ref="F8" ca="1">INDIRECT("'整月外場班表'!"&amp;$AB$1&amp;$AA8)</f>
        <v>0</v>
      </c>
      <c r="G8" s="7" cm="1">
        <f t="array" aca="1" ref="G8" ca="1">INDIRECT("'整月外場班表'!"&amp;$AC$1&amp;$AA8)</f>
        <v>0</v>
      </c>
      <c r="H8" s="7" cm="1">
        <f t="array" aca="1" ref="H8" ca="1">INDIRECT("'整月外場班表'!"&amp;$AB$1&amp;AA8+1)</f>
        <v>0</v>
      </c>
      <c r="I8" s="7" cm="1">
        <f t="array" aca="1" ref="I8" ca="1">INDIRECT("'整月外場班表'!"&amp;$AC$1&amp;$AA8+1)</f>
        <v>0</v>
      </c>
      <c r="AA8" s="13">
        <f t="shared" si="2"/>
        <v>12</v>
      </c>
      <c r="AB8" s="6" t="str" cm="1">
        <f t="array" aca="1" ref="AB8" ca="1">_xlfn.IFS(E8="外場兼職",D8&amp;"PT",E8&lt;&gt;"外場兼職",D8)</f>
        <v>宋文馨</v>
      </c>
      <c r="AC8" s="18">
        <v>10</v>
      </c>
      <c r="AD8" s="7">
        <f t="shared" ca="1" si="0"/>
        <v>0</v>
      </c>
      <c r="AE8" s="7">
        <f t="shared" ca="1" si="1"/>
        <v>0</v>
      </c>
      <c r="AF8" s="7">
        <f t="shared" ca="1" si="1"/>
        <v>0</v>
      </c>
      <c r="AG8" s="18">
        <f t="shared" ca="1" si="1"/>
        <v>0</v>
      </c>
      <c r="AH8" s="20">
        <f t="shared" ca="1" si="3"/>
        <v>0</v>
      </c>
    </row>
    <row r="9" spans="2:34">
      <c r="B9" s="5" t="s">
        <v>9</v>
      </c>
      <c r="C9" s="6">
        <f t="shared" si="4"/>
        <v>14</v>
      </c>
      <c r="D9" s="7" t="str" cm="1">
        <f t="array" aca="1" ref="D9" ca="1">INDIRECT("'整月外場班表'!"&amp;"B"&amp;$AA9)</f>
        <v>程楚茜</v>
      </c>
      <c r="E9" s="7" t="str" cm="1">
        <f t="array" aca="1" ref="E9" ca="1">INDIRECT("'整月外場班表'!"&amp;"A"&amp;$AA9)</f>
        <v>正職</v>
      </c>
      <c r="F9" s="7" cm="1">
        <f t="array" aca="1" ref="F9" ca="1">INDIRECT("'整月外場班表'!"&amp;$AB$1&amp;$AA9)</f>
        <v>0</v>
      </c>
      <c r="G9" s="7" cm="1">
        <f t="array" aca="1" ref="G9" ca="1">INDIRECT("'整月外場班表'!"&amp;$AC$1&amp;$AA9)</f>
        <v>0</v>
      </c>
      <c r="H9" s="7" cm="1">
        <f t="array" aca="1" ref="H9" ca="1">INDIRECT("'整月外場班表'!"&amp;$AB$1&amp;AA9+1)</f>
        <v>0</v>
      </c>
      <c r="I9" s="7" cm="1">
        <f t="array" aca="1" ref="I9" ca="1">INDIRECT("'整月外場班表'!"&amp;$AC$1&amp;$AA9+1)</f>
        <v>0</v>
      </c>
      <c r="AA9" s="13">
        <f t="shared" si="2"/>
        <v>15</v>
      </c>
      <c r="AB9" s="6" t="str" cm="1">
        <f t="array" aca="1" ref="AB9" ca="1">_xlfn.IFS(E9="外場兼職",D9&amp;"PT",E9&lt;&gt;"外場兼職",D9)</f>
        <v>程楚茜</v>
      </c>
      <c r="AC9" s="18">
        <v>10</v>
      </c>
      <c r="AD9" s="7">
        <f t="shared" ca="1" si="0"/>
        <v>0</v>
      </c>
      <c r="AE9" s="7">
        <f t="shared" ca="1" si="1"/>
        <v>0</v>
      </c>
      <c r="AF9" s="7">
        <f t="shared" ca="1" si="1"/>
        <v>0</v>
      </c>
      <c r="AG9" s="18">
        <f t="shared" ca="1" si="1"/>
        <v>0</v>
      </c>
      <c r="AH9" s="20">
        <f t="shared" ca="1" si="3"/>
        <v>0</v>
      </c>
    </row>
    <row r="10" spans="2:34">
      <c r="B10" s="5" t="s">
        <v>9</v>
      </c>
      <c r="C10" s="6">
        <f t="shared" si="4"/>
        <v>17</v>
      </c>
      <c r="D10" s="7" t="str" cm="1">
        <f t="array" aca="1" ref="D10" ca="1">INDIRECT("'整月外場班表'!"&amp;"B"&amp;$AA10)</f>
        <v>林郁珮</v>
      </c>
      <c r="E10" s="7" t="str" cm="1">
        <f t="array" aca="1" ref="E10" ca="1">INDIRECT("'整月外場班表'!"&amp;"A"&amp;$AA10)</f>
        <v>正職</v>
      </c>
      <c r="F10" s="7" cm="1">
        <f t="array" aca="1" ref="F10" ca="1">INDIRECT("'整月外場班表'!"&amp;$AB$1&amp;$AA10)</f>
        <v>0</v>
      </c>
      <c r="G10" s="7" cm="1">
        <f t="array" aca="1" ref="G10" ca="1">INDIRECT("'整月外場班表'!"&amp;$AC$1&amp;$AA10)</f>
        <v>0</v>
      </c>
      <c r="H10" s="7" cm="1">
        <f t="array" aca="1" ref="H10" ca="1">INDIRECT("'整月外場班表'!"&amp;$AB$1&amp;AA10+1)</f>
        <v>0</v>
      </c>
      <c r="I10" s="7" cm="1">
        <f t="array" aca="1" ref="I10" ca="1">INDIRECT("'整月外場班表'!"&amp;$AC$1&amp;$AA10+1)</f>
        <v>0</v>
      </c>
      <c r="AA10" s="13">
        <f t="shared" si="2"/>
        <v>18</v>
      </c>
      <c r="AB10" s="6" t="str" cm="1">
        <f t="array" aca="1" ref="AB10" ca="1">_xlfn.IFS(E10="外場兼職",D10&amp;"PT",E10&lt;&gt;"外場兼職",D10)</f>
        <v>林郁珮</v>
      </c>
      <c r="AC10" s="18">
        <v>10</v>
      </c>
      <c r="AD10" s="7">
        <f t="shared" ca="1" si="0"/>
        <v>0</v>
      </c>
      <c r="AE10" s="7">
        <f t="shared" ca="1" si="1"/>
        <v>0</v>
      </c>
      <c r="AF10" s="7">
        <f t="shared" ca="1" si="1"/>
        <v>0</v>
      </c>
      <c r="AG10" s="18">
        <f t="shared" ca="1" si="1"/>
        <v>0</v>
      </c>
      <c r="AH10" s="20">
        <f t="shared" ca="1" si="3"/>
        <v>0</v>
      </c>
    </row>
    <row r="11" spans="2:34">
      <c r="B11" s="5" t="s">
        <v>9</v>
      </c>
      <c r="C11" s="6">
        <f t="shared" si="4"/>
        <v>20</v>
      </c>
      <c r="D11" s="7" cm="1">
        <f t="array" aca="1" ref="D11" ca="1">INDIRECT("'整月外場班表'!"&amp;"B"&amp;$AA11)</f>
        <v>0</v>
      </c>
      <c r="E11" s="7" cm="1">
        <f t="array" aca="1" ref="E11" ca="1">INDIRECT("'整月外場班表'!"&amp;"A"&amp;$AA11)</f>
        <v>0</v>
      </c>
      <c r="F11" s="7" cm="1">
        <f t="array" aca="1" ref="F11" ca="1">INDIRECT("'整月外場班表'!"&amp;$AB$1&amp;$AA11)</f>
        <v>0</v>
      </c>
      <c r="G11" s="7" cm="1">
        <f t="array" aca="1" ref="G11" ca="1">INDIRECT("'整月外場班表'!"&amp;$AC$1&amp;$AA11)</f>
        <v>0</v>
      </c>
      <c r="H11" s="7" cm="1">
        <f t="array" aca="1" ref="H11" ca="1">INDIRECT("'整月外場班表'!"&amp;$AB$1&amp;AA11+1)</f>
        <v>0</v>
      </c>
      <c r="I11" s="7" cm="1">
        <f t="array" aca="1" ref="I11" ca="1">INDIRECT("'整月外場班表'!"&amp;$AC$1&amp;$AA11+1)</f>
        <v>0</v>
      </c>
      <c r="AA11" s="13">
        <f t="shared" si="2"/>
        <v>21</v>
      </c>
      <c r="AB11" s="6" cm="1">
        <f t="array" aca="1" ref="AB11" ca="1">_xlfn.IFS(E11="外場兼職",D11&amp;"PT",E11&lt;&gt;"外場兼職",D11)</f>
        <v>0</v>
      </c>
      <c r="AC11" s="18">
        <v>10</v>
      </c>
      <c r="AD11" s="7">
        <f t="shared" ca="1" si="0"/>
        <v>0</v>
      </c>
      <c r="AE11" s="7">
        <f t="shared" ca="1" si="1"/>
        <v>0</v>
      </c>
      <c r="AF11" s="7">
        <f t="shared" ca="1" si="1"/>
        <v>0</v>
      </c>
      <c r="AG11" s="18">
        <f t="shared" ca="1" si="1"/>
        <v>0</v>
      </c>
      <c r="AH11" s="20">
        <f t="shared" ca="1" si="3"/>
        <v>0</v>
      </c>
    </row>
    <row r="12" spans="2:34">
      <c r="B12" s="5" t="s">
        <v>9</v>
      </c>
      <c r="C12" s="6">
        <f t="shared" si="4"/>
        <v>23</v>
      </c>
      <c r="D12" s="7" cm="1">
        <f t="array" aca="1" ref="D12" ca="1">INDIRECT("'整月外場班表'!"&amp;"B"&amp;$AA12)</f>
        <v>0</v>
      </c>
      <c r="E12" s="7" cm="1">
        <f t="array" aca="1" ref="E12" ca="1">INDIRECT("'整月外場班表'!"&amp;"A"&amp;$AA12)</f>
        <v>0</v>
      </c>
      <c r="F12" s="7" cm="1">
        <f t="array" aca="1" ref="F12" ca="1">INDIRECT("'整月外場班表'!"&amp;$AB$1&amp;$AA12)</f>
        <v>0</v>
      </c>
      <c r="G12" s="7" cm="1">
        <f t="array" aca="1" ref="G12" ca="1">INDIRECT("'整月外場班表'!"&amp;$AC$1&amp;$AA12)</f>
        <v>0</v>
      </c>
      <c r="H12" s="7" cm="1">
        <f t="array" aca="1" ref="H12" ca="1">INDIRECT("'整月外場班表'!"&amp;$AB$1&amp;AA12+1)</f>
        <v>0</v>
      </c>
      <c r="I12" s="7" cm="1">
        <f t="array" aca="1" ref="I12" ca="1">INDIRECT("'整月外場班表'!"&amp;$AC$1&amp;$AA12+1)</f>
        <v>0</v>
      </c>
      <c r="AA12" s="13">
        <f t="shared" si="2"/>
        <v>24</v>
      </c>
      <c r="AB12" s="6" cm="1">
        <f t="array" aca="1" ref="AB12" ca="1">_xlfn.IFS(E12="外場兼職",D12&amp;"PT",E12&lt;&gt;"外場兼職",D12)</f>
        <v>0</v>
      </c>
      <c r="AC12" s="18">
        <v>10</v>
      </c>
      <c r="AD12" s="7">
        <f t="shared" ca="1" si="0"/>
        <v>0</v>
      </c>
      <c r="AE12" s="7">
        <f t="shared" ca="1" si="1"/>
        <v>0</v>
      </c>
      <c r="AF12" s="7">
        <f t="shared" ca="1" si="1"/>
        <v>0</v>
      </c>
      <c r="AG12" s="18">
        <f t="shared" ca="1" si="1"/>
        <v>0</v>
      </c>
      <c r="AH12" s="20">
        <f t="shared" ca="1" si="3"/>
        <v>0</v>
      </c>
    </row>
    <row r="13" spans="2:34">
      <c r="B13" s="5" t="s">
        <v>9</v>
      </c>
      <c r="C13" s="6">
        <f t="shared" si="4"/>
        <v>26</v>
      </c>
      <c r="D13" s="7" t="str" cm="1">
        <f t="array" aca="1" ref="D13" ca="1">INDIRECT("'整月外場班表'!"&amp;"B"&amp;$AA13)</f>
        <v>黃先祺</v>
      </c>
      <c r="E13" s="7" t="str" cm="1">
        <f t="array" aca="1" ref="E13" ca="1">INDIRECT("'整月外場班表'!"&amp;"A"&amp;$AA13)</f>
        <v>兼職</v>
      </c>
      <c r="F13" s="7" cm="1">
        <f t="array" aca="1" ref="F13" ca="1">INDIRECT("'整月外場班表'!"&amp;$AB$1&amp;$AA13)</f>
        <v>0</v>
      </c>
      <c r="G13" s="7" cm="1">
        <f t="array" aca="1" ref="G13" ca="1">INDIRECT("'整月外場班表'!"&amp;$AC$1&amp;$AA13)</f>
        <v>0</v>
      </c>
      <c r="H13" s="7" cm="1">
        <f t="array" aca="1" ref="H13" ca="1">INDIRECT("'整月外場班表'!"&amp;$AB$1&amp;AA13+1)</f>
        <v>0</v>
      </c>
      <c r="I13" s="7" cm="1">
        <f t="array" aca="1" ref="I13" ca="1">INDIRECT("'整月外場班表'!"&amp;$AC$1&amp;$AA13+1)</f>
        <v>0</v>
      </c>
      <c r="AA13" s="13">
        <f t="shared" si="2"/>
        <v>27</v>
      </c>
      <c r="AB13" s="6" t="str" cm="1">
        <f t="array" aca="1" ref="AB13" ca="1">_xlfn.IFS(E13="外場兼職",D13&amp;"PT",E13&lt;&gt;"外場兼職",D13)</f>
        <v>黃先祺</v>
      </c>
      <c r="AC13" s="18">
        <v>10</v>
      </c>
      <c r="AD13" s="7">
        <f t="shared" ref="AD13:AD15" ca="1" si="5">F13-AC13+10</f>
        <v>0</v>
      </c>
      <c r="AE13" s="7">
        <f t="shared" ref="AE13:AE15" ca="1" si="6">G13-F13</f>
        <v>0</v>
      </c>
      <c r="AF13" s="7">
        <f t="shared" ref="AF13:AF15" ca="1" si="7">H13-G13</f>
        <v>0</v>
      </c>
      <c r="AG13" s="18">
        <f t="shared" ref="AG13:AG15" ca="1" si="8">I13-H13</f>
        <v>0</v>
      </c>
      <c r="AH13" s="20">
        <f t="shared" ca="1" si="3"/>
        <v>0</v>
      </c>
    </row>
    <row r="14" spans="2:34">
      <c r="B14" s="5" t="s">
        <v>9</v>
      </c>
      <c r="C14" s="6">
        <f t="shared" si="4"/>
        <v>29</v>
      </c>
      <c r="D14" s="7" cm="1">
        <f t="array" aca="1" ref="D14" ca="1">INDIRECT("'整月外場班表'!"&amp;"B"&amp;$AA14)</f>
        <v>0</v>
      </c>
      <c r="E14" s="7" cm="1">
        <f t="array" aca="1" ref="E14" ca="1">INDIRECT("'整月外場班表'!"&amp;"A"&amp;$AA14)</f>
        <v>0</v>
      </c>
      <c r="F14" s="7" cm="1">
        <f t="array" aca="1" ref="F14" ca="1">INDIRECT("'整月外場班表'!"&amp;$AB$1&amp;$AA14)</f>
        <v>0</v>
      </c>
      <c r="G14" s="7" cm="1">
        <f t="array" aca="1" ref="G14" ca="1">INDIRECT("'整月外場班表'!"&amp;$AC$1&amp;$AA14)</f>
        <v>0</v>
      </c>
      <c r="H14" s="7" cm="1">
        <f t="array" aca="1" ref="H14" ca="1">INDIRECT("'整月外場班表'!"&amp;$AB$1&amp;AA14+1)</f>
        <v>0</v>
      </c>
      <c r="I14" s="7" cm="1">
        <f t="array" aca="1" ref="I14" ca="1">INDIRECT("'整月外場班表'!"&amp;$AC$1&amp;$AA14+1)</f>
        <v>0</v>
      </c>
      <c r="AA14" s="13">
        <f t="shared" si="2"/>
        <v>30</v>
      </c>
      <c r="AB14" s="6" cm="1">
        <f t="array" aca="1" ref="AB14" ca="1">_xlfn.IFS(E14="外場兼職",D14&amp;"PT",E14&lt;&gt;"外場兼職",D14)</f>
        <v>0</v>
      </c>
      <c r="AC14" s="18">
        <v>10</v>
      </c>
      <c r="AD14" s="7">
        <f t="shared" ca="1" si="5"/>
        <v>0</v>
      </c>
      <c r="AE14" s="7">
        <f t="shared" ca="1" si="6"/>
        <v>0</v>
      </c>
      <c r="AF14" s="7">
        <f t="shared" ca="1" si="7"/>
        <v>0</v>
      </c>
      <c r="AG14" s="18">
        <f t="shared" ca="1" si="8"/>
        <v>0</v>
      </c>
      <c r="AH14" s="20">
        <f t="shared" ca="1" si="3"/>
        <v>0</v>
      </c>
    </row>
    <row r="15" spans="2:34">
      <c r="B15" s="5" t="s">
        <v>9</v>
      </c>
      <c r="C15" s="6">
        <f t="shared" si="4"/>
        <v>32</v>
      </c>
      <c r="D15" s="7" cm="1">
        <f t="array" aca="1" ref="D15" ca="1">INDIRECT("'整月外場班表'!"&amp;"B"&amp;$AA15)</f>
        <v>0</v>
      </c>
      <c r="E15" s="7" cm="1">
        <f t="array" aca="1" ref="E15" ca="1">INDIRECT("'整月外場班表'!"&amp;"A"&amp;$AA15)</f>
        <v>0</v>
      </c>
      <c r="F15" s="7" cm="1">
        <f t="array" aca="1" ref="F15" ca="1">INDIRECT("'整月外場班表'!"&amp;$AB$1&amp;$AA15)</f>
        <v>0</v>
      </c>
      <c r="G15" s="7" cm="1">
        <f t="array" aca="1" ref="G15" ca="1">INDIRECT("'整月外場班表'!"&amp;$AC$1&amp;$AA15)</f>
        <v>0</v>
      </c>
      <c r="H15" s="7" cm="1">
        <f t="array" aca="1" ref="H15" ca="1">INDIRECT("'整月外場班表'!"&amp;$AB$1&amp;AA15+1)</f>
        <v>0</v>
      </c>
      <c r="I15" s="7" cm="1">
        <f t="array" aca="1" ref="I15" ca="1">INDIRECT("'整月外場班表'!"&amp;$AC$1&amp;$AA15+1)</f>
        <v>0</v>
      </c>
      <c r="AA15" s="13">
        <f t="shared" si="2"/>
        <v>33</v>
      </c>
      <c r="AB15" s="6" cm="1">
        <f t="array" aca="1" ref="AB15" ca="1">_xlfn.IFS(E15="外場兼職",D15&amp;"PT",E15&lt;&gt;"外場兼職",D15)</f>
        <v>0</v>
      </c>
      <c r="AC15" s="18">
        <v>10</v>
      </c>
      <c r="AD15" s="7">
        <f t="shared" ca="1" si="5"/>
        <v>0</v>
      </c>
      <c r="AE15" s="7">
        <f t="shared" ca="1" si="6"/>
        <v>0</v>
      </c>
      <c r="AF15" s="7">
        <f t="shared" ca="1" si="7"/>
        <v>0</v>
      </c>
      <c r="AG15" s="18">
        <f t="shared" ca="1" si="8"/>
        <v>0</v>
      </c>
      <c r="AH15" s="20">
        <f t="shared" ca="1" si="3"/>
        <v>0</v>
      </c>
    </row>
    <row r="16" spans="2:34">
      <c r="B16" s="5" t="s">
        <v>9</v>
      </c>
      <c r="C16" s="6">
        <f>C12+3</f>
        <v>26</v>
      </c>
      <c r="D16" s="7" t="str" cm="1">
        <f t="array" aca="1" ref="D16" ca="1">INDIRECT("'整月外場班表'!"&amp;"B"&amp;$AA16)</f>
        <v>黃先祺</v>
      </c>
      <c r="E16" s="7" t="str" cm="1">
        <f t="array" aca="1" ref="E16" ca="1">INDIRECT("'整月外場班表'!"&amp;"A"&amp;$AA16)</f>
        <v>兼職</v>
      </c>
      <c r="F16" s="7" cm="1">
        <f t="array" aca="1" ref="F16" ca="1">INDIRECT("'整月外場班表'!"&amp;$AB$1&amp;$AA16)</f>
        <v>0</v>
      </c>
      <c r="G16" s="7" cm="1">
        <f t="array" aca="1" ref="G16" ca="1">INDIRECT("'整月外場班表'!"&amp;$AC$1&amp;$AA16)</f>
        <v>0</v>
      </c>
      <c r="H16" s="7" cm="1">
        <f t="array" aca="1" ref="H16" ca="1">INDIRECT("'整月外場班表'!"&amp;$AB$1&amp;AA16+1)</f>
        <v>0</v>
      </c>
      <c r="I16" s="7" cm="1">
        <f t="array" aca="1" ref="I16" ca="1">INDIRECT("'整月外場班表'!"&amp;$AC$1&amp;$AA16+1)</f>
        <v>0</v>
      </c>
      <c r="AA16" s="13">
        <f>AA12+3</f>
        <v>27</v>
      </c>
      <c r="AB16" s="6" t="str" cm="1">
        <f t="array" aca="1" ref="AB16" ca="1">_xlfn.IFS(E16="外場兼職",D16&amp;"PT",E16&lt;&gt;"外場兼職",D16)</f>
        <v>黃先祺</v>
      </c>
      <c r="AC16" s="18">
        <v>10</v>
      </c>
      <c r="AD16" s="7">
        <f t="shared" ca="1" si="0"/>
        <v>0</v>
      </c>
      <c r="AE16" s="7">
        <f t="shared" ca="1" si="1"/>
        <v>0</v>
      </c>
      <c r="AF16" s="7">
        <f t="shared" ca="1" si="1"/>
        <v>0</v>
      </c>
      <c r="AG16" s="18">
        <f t="shared" ca="1" si="1"/>
        <v>0</v>
      </c>
      <c r="AH16" s="20">
        <f t="shared" ca="1" si="3"/>
        <v>0</v>
      </c>
    </row>
    <row r="17" spans="2:34">
      <c r="B17" s="5" t="s">
        <v>9</v>
      </c>
      <c r="C17" s="6"/>
      <c r="D17" s="7" cm="1">
        <f t="array" aca="1" ref="D17" ca="1">INDIRECT("'整月外場班表'!"&amp;"B"&amp;$AA17)</f>
        <v>0</v>
      </c>
      <c r="E17" s="7" cm="1">
        <f t="array" aca="1" ref="E17" ca="1">INDIRECT("'整月外場班表'!"&amp;"A"&amp;$AA17)</f>
        <v>0</v>
      </c>
      <c r="F17" s="7" cm="1">
        <f t="array" aca="1" ref="F17" ca="1">INDIRECT("'整月外場班表'!"&amp;$AB$1&amp;$AA17)</f>
        <v>0</v>
      </c>
      <c r="G17" s="7" cm="1">
        <f t="array" aca="1" ref="G17" ca="1">INDIRECT("'整月外場班表'!"&amp;$AC$1&amp;$AA17)</f>
        <v>0</v>
      </c>
      <c r="H17" s="7" cm="1">
        <f t="array" aca="1" ref="H17" ca="1">INDIRECT("'整月外場班表'!"&amp;$AB$1&amp;AA17+1)</f>
        <v>0</v>
      </c>
      <c r="I17" s="7" cm="1">
        <f t="array" aca="1" ref="I17" ca="1">INDIRECT("'整月外場班表'!"&amp;$AC$1&amp;$AA17+1)</f>
        <v>0</v>
      </c>
      <c r="AA17" s="13">
        <f t="shared" si="2"/>
        <v>30</v>
      </c>
      <c r="AB17" s="6" cm="1">
        <f t="array" aca="1" ref="AB17" ca="1">_xlfn.IFS(E17="外場兼職",D17&amp;"PT",E17&lt;&gt;"外場兼職",D17)</f>
        <v>0</v>
      </c>
      <c r="AC17" s="18">
        <v>10</v>
      </c>
      <c r="AD17" s="7">
        <f t="shared" ca="1" si="0"/>
        <v>0</v>
      </c>
      <c r="AE17" s="7">
        <f t="shared" ca="1" si="1"/>
        <v>0</v>
      </c>
      <c r="AF17" s="7">
        <f t="shared" ca="1" si="1"/>
        <v>0</v>
      </c>
      <c r="AG17" s="18">
        <f t="shared" ca="1" si="1"/>
        <v>0</v>
      </c>
      <c r="AH17" s="20">
        <f t="shared" ca="1" si="3"/>
        <v>0</v>
      </c>
    </row>
    <row r="20" spans="2:34">
      <c r="G20" s="8"/>
    </row>
  </sheetData>
  <mergeCells count="12">
    <mergeCell ref="J3:K3"/>
    <mergeCell ref="L3:P3"/>
    <mergeCell ref="Q3:R3"/>
    <mergeCell ref="S3:W3"/>
    <mergeCell ref="J1:K1"/>
    <mergeCell ref="L1:P1"/>
    <mergeCell ref="Q1:R1"/>
    <mergeCell ref="S1:W1"/>
    <mergeCell ref="J2:K2"/>
    <mergeCell ref="L2:P2"/>
    <mergeCell ref="Q2:R2"/>
    <mergeCell ref="S2:W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581A6E-2D9F-4E7A-9E75-081F54B2E3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34</vt:i4>
      </vt:variant>
      <vt:variant>
        <vt:lpstr>具名範圍</vt:lpstr>
      </vt:variant>
      <vt:variant>
        <vt:i4>1</vt:i4>
      </vt:variant>
    </vt:vector>
  </HeadingPairs>
  <TitlesOfParts>
    <vt:vector size="35" baseType="lpstr">
      <vt:lpstr>整月外場班表</vt:lpstr>
      <vt:lpstr>外場轉化</vt:lpstr>
      <vt:lpstr>內場轉化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整月外場班表!Print_Area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ANYONE</dc:creator>
  <cp:lastModifiedBy>徐念煜</cp:lastModifiedBy>
  <cp:lastPrinted>2026-02-20T13:32:45Z</cp:lastPrinted>
  <dcterms:created xsi:type="dcterms:W3CDTF">2025-10-31T05:24:21Z</dcterms:created>
  <dcterms:modified xsi:type="dcterms:W3CDTF">2026-07-03T11:16:37Z</dcterms:modified>
</cp:coreProperties>
</file>